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Summary" sheetId="2" state="visible" r:id="rId4"/>
    <sheet name="Assumptions" sheetId="3" state="visible" r:id="rId5"/>
    <sheet name="Rehab Budget" sheetId="4" state="visible" r:id="rId6"/>
    <sheet name="Sources &amp; Uses" sheetId="5" state="visible" r:id="rId7"/>
    <sheet name="Monthly Cash Flow" sheetId="6" state="visible" r:id="rId8"/>
    <sheet name="Disposition &amp; Return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<sst xmlns="http://schemas.openxmlformats.org/spreadsheetml/2006/main" count="309" uniqueCount="263">
  <si>
    <t xml:space="preserve">Fix &amp; Flip Financial Model — JV Partner Template</t>
  </si>
  <si>
    <t xml:space="preserve">How to use this workbook</t>
  </si>
  <si>
    <t xml:space="preserve">WHO THIS IS FOR</t>
  </si>
  <si>
    <t xml:space="preserve">Deals with two (or more) capital/operating parties who split profit via a priority-ordered waterfall — e.g. a capital partner (JV Party A) and an operating/sweat-equity partner (JV Party B). If your client is a single borrower with no partner split, use the companion Borrower Version template instead — it has the same deal-economics tabs without the waterfall complexity.</t>
  </si>
  <si>
    <t xml:space="preserve">WHAT MAKES THE WATERFALL TAB DIFFERENT</t>
  </si>
  <si>
    <t xml:space="preserve">Most fix-and-flip models just show 'party gets X%.' This one properly caps every distribution step at cash actually remaining, in strict priority order — so if the sale price disappoints, the model shows who actually absorbs the shortfall (usually the most junior party) instead of quietly showing a negative number or letting the senior party's payout float free of reality. This is the single most common modeling mistake in JV waterfalls and the main reason this template is worth reusing.</t>
  </si>
  <si>
    <t xml:space="preserve">STEP 1 — Assumptions tab</t>
  </si>
  <si>
    <t xml:space="preserve">Replace every [BRACKETED] placeholder and blue example figure with the client's actual deal terms: property details, loan terms, rehab budget total, holding costs, timeline, and — critically — the actual JV agreement's economic terms (preferred return rate, residual split, capital exposure definition). Read the client's actual JV agreement or operating agreement before filling these in — do not assume the example rates apply.</t>
  </si>
  <si>
    <t xml:space="preserve">STEP 2 — Rehab Budget tab</t>
  </si>
  <si>
    <t xml:space="preserve">Replace the example category rows with the client's real itemized contractor budget. Keep one row per line item; the category subtotals and grand total update automatically.</t>
  </si>
  <si>
    <t xml:space="preserve">STEP 3 — Waterfall priority order</t>
  </si>
  <si>
    <t xml:space="preserve">The Disposition &amp; Returns tab's step order (liens → senior party capital return + preferred return → contingency/additional-capital mechanisms → junior party fee → residual split) reflects a common JV structure, but every deal's actual agreement may order these differently. Re-read the client's agreement's distribution-of-proceeds section and re-order the steps in this tab to match — the capping logic (MIN formulas holding each step at cash actually remaining) works the same regardless of order, but the order itself must match the real contract or the output is meaningless.</t>
  </si>
  <si>
    <t xml:space="preserve">STEP 4 — Contingency &amp; additional-capital mechanisms</t>
  </si>
  <si>
    <t xml:space="preserve">These are optional add-ons, not universal. Only include them if the client's actual deal has (a) a fallback funder if the primary capital partner comes up short, or (b) a mechanism for logging additional capital contributions beyond the initial funding. Delete these sections entirely if the deal doesn't have them — don't leave inactive mechanics in a client deliverable.</t>
  </si>
  <si>
    <t xml:space="preserve">STEP 5 — Sensitivity testing</t>
  </si>
  <si>
    <t xml:space="preserve">Before delivering, test the model at a below-ARV sale price and confirm no distribution goes negative and the check row (Party totals = remaining after liens) stays at $0. This is the single most important QA step — it's what the whole capping mechanism exists to guarantee.</t>
  </si>
  <si>
    <t xml:space="preserve">STEP 6 — Strip internal notes before sending</t>
  </si>
  <si>
    <t xml:space="preserve">Cells and notes marked in red/yellow throughout are meant for you, the preparer — flagging assumptions, unresolved 'need to verify' items, or internal reasoning. Review every flagged note before sending to a client and either resolve it or convert it into client-appropriate language. Don't ship a model with 'confirm with Harold'-style internal notes intact.</t>
  </si>
  <si>
    <t xml:space="preserve">Fix &amp; Flip Financial Analysis</t>
  </si>
  <si>
    <t xml:space="preserve">[Property Address]  |  [Capital Partner Entity] / [Operating Partner Entity] (JV)</t>
  </si>
  <si>
    <t xml:space="preserve">Prepared:</t>
  </si>
  <si>
    <t xml:space="preserve">KEY DEAL METRICS</t>
  </si>
  <si>
    <t xml:space="preserve">Purchase Price</t>
  </si>
  <si>
    <t xml:space="preserve">After Repair Value (ARV)</t>
  </si>
  <si>
    <t xml:space="preserve">Total Rehab Budget</t>
  </si>
  <si>
    <t xml:space="preserve">Total Project Cost (Purchase + Closing + Rehab)</t>
  </si>
  <si>
    <t xml:space="preserve">Total Cash Required (all-in)</t>
  </si>
  <si>
    <t xml:space="preserve">PROJECT PROFIT &amp; RETURN</t>
  </si>
  <si>
    <t xml:space="preserve">Net Sale Proceeds (after commission &amp; closing costs)</t>
  </si>
  <si>
    <t xml:space="preserve">Less: Loan Payoff (senior lien)</t>
  </si>
  <si>
    <t xml:space="preserve">Less: Total Capital Invested (both parties, out-of-pocket)</t>
  </si>
  <si>
    <t xml:space="preserve">NET PROJECT PROFIT</t>
  </si>
  <si>
    <t xml:space="preserve">Return on Capital Invested (Total ROI)</t>
  </si>
  <si>
    <t xml:space="preserve">Annualized ROI (based on hold period)</t>
  </si>
  <si>
    <t xml:space="preserve">WATERFALL SPLIT  (Title % is for reporting only — the waterfall below governs actual payout)</t>
  </si>
  <si>
    <t xml:space="preserve">Party A — Senior Capital Return + Preferred Return</t>
  </si>
  <si>
    <t xml:space="preserve">Party B — Contingency Fallback Funding (if applicable)</t>
  </si>
  <si>
    <t xml:space="preserve">Party A — Additional Capital Contributions + Return</t>
  </si>
  <si>
    <t xml:space="preserve">Party B — Reimbursements + Management/Operating Fee</t>
  </si>
  <si>
    <t xml:space="preserve">Residual Split</t>
  </si>
  <si>
    <t xml:space="preserve">Party A — Total Distribution</t>
  </si>
  <si>
    <t xml:space="preserve">Party B — Total Distribution</t>
  </si>
  <si>
    <t xml:space="preserve">Party A — Net Profit</t>
  </si>
  <si>
    <t xml:space="preserve">Party B — Net Profit</t>
  </si>
  <si>
    <t xml:space="preserve">TEMPLATE NOTES — REMOVE BEFORE SENDING TO CLIENT</t>
  </si>
  <si>
    <t xml:space="preserve">•  This is a TEMPLATE. Every dollar figure, rate, and JV clause reference must be replaced with the actual deal's terms before use.</t>
  </si>
  <si>
    <t xml:space="preserve">•  The waterfall step order on the Disposition &amp; Returns tab must match the client's actual JV/operating agreement's distribution-of-proceeds section — verify before relying on it.</t>
  </si>
  <si>
    <t xml:space="preserve">•  Delete the contingency and additional-capital mechanisms entirely if the client's deal doesn't have them.</t>
  </si>
  <si>
    <t xml:space="preserve">•  Test the model at a below-ARV sale price before delivering — confirm no distribution goes negative (see How To Use tab, Step 5).</t>
  </si>
  <si>
    <t xml:space="preserve">Assumptions &amp; Inputs</t>
  </si>
  <si>
    <t xml:space="preserve">Blue = replace with actual deal figures   |   Yellow = confirm/customize per client's JV agreement</t>
  </si>
  <si>
    <t xml:space="preserve">PROPERTY</t>
  </si>
  <si>
    <t xml:space="preserve">Address</t>
  </si>
  <si>
    <t xml:space="preserve">[Property Address]</t>
  </si>
  <si>
    <t xml:space="preserve">Property Type</t>
  </si>
  <si>
    <t xml:space="preserve">[e.g. Single Family Residence]</t>
  </si>
  <si>
    <t xml:space="preserve">Requested Closing Date</t>
  </si>
  <si>
    <t xml:space="preserve">[Closing Date]</t>
  </si>
  <si>
    <t xml:space="preserve">ACQUISITION</t>
  </si>
  <si>
    <t xml:space="preserve">EXAMPLE — replace with actual purchase price.</t>
  </si>
  <si>
    <t xml:space="preserve">As-Is Value</t>
  </si>
  <si>
    <t xml:space="preserve">EXAMPLE.</t>
  </si>
  <si>
    <t xml:space="preserve">Earnest Money Deposit (already paid)</t>
  </si>
  <si>
    <t xml:space="preserve">Seller / Broker Credits</t>
  </si>
  <si>
    <t xml:space="preserve">LOAN TERMS</t>
  </si>
  <si>
    <t xml:space="preserve">Loan Amount</t>
  </si>
  <si>
    <t xml:space="preserve">EXAMPLE — pull from actual lender term sheet.</t>
  </si>
  <si>
    <t xml:space="preserve">Interest Rate (annual, simple, interest-only)</t>
  </si>
  <si>
    <t xml:space="preserve">Total Estimated Closing Costs</t>
  </si>
  <si>
    <t xml:space="preserve">Monthly Interest-Only Payment</t>
  </si>
  <si>
    <t xml:space="preserve">Lender-Required Payment Reserve (if applicable)</t>
  </si>
  <si>
    <t xml:space="preserve">EXAMPLE — confirm actual reserve requirement, if any.</t>
  </si>
  <si>
    <t xml:space="preserve">REHAB BUDGET</t>
  </si>
  <si>
    <t xml:space="preserve">Total Rehab Budget (itemized — see Rehab Budget tab)</t>
  </si>
  <si>
    <t xml:space="preserve">TIMELINE  —  CONFIRM WITH CLIENT</t>
  </si>
  <si>
    <t xml:space="preserve">Rehab Period (months)</t>
  </si>
  <si>
    <t xml:space="preserve">EXAMPLE — set based on actual scope of work.</t>
  </si>
  <si>
    <t xml:space="preserve">Marketing &amp; Closing Period (months)</t>
  </si>
  <si>
    <t xml:space="preserve">Total Hold Period (months)</t>
  </si>
  <si>
    <t xml:space="preserve">HOLDING COSTS  —  CONFIRM WITH CLIENT</t>
  </si>
  <si>
    <t xml:space="preserve">Property Tax (monthly)</t>
  </si>
  <si>
    <t xml:space="preserve">EXAMPLE — pull from county tax records.</t>
  </si>
  <si>
    <t xml:space="preserve">Insurance (monthly)</t>
  </si>
  <si>
    <t xml:space="preserve">EXAMPLE — get an actual quote.</t>
  </si>
  <si>
    <t xml:space="preserve">Utilities (monthly)</t>
  </si>
  <si>
    <t xml:space="preserve">HOA Dues (monthly)</t>
  </si>
  <si>
    <t xml:space="preserve">EXAMPLE — $0 if not applicable.</t>
  </si>
  <si>
    <t xml:space="preserve">DISPOSITION  —  CONFIRM WITH CLIENT</t>
  </si>
  <si>
    <t xml:space="preserve">Target Sale Price</t>
  </si>
  <si>
    <t xml:space="preserve">Set equal to ARV by default. Overwrite with a specific target/list price to test scenarios.</t>
  </si>
  <si>
    <t xml:space="preserve">Selling Commission (% of sale price)</t>
  </si>
  <si>
    <t xml:space="preserve">EXAMPLE — confirm local market rate.</t>
  </si>
  <si>
    <t xml:space="preserve">Selling Closing Costs (% of sale price)</t>
  </si>
  <si>
    <t xml:space="preserve">JV WATERFALL INPUTS  —  MUST MATCH CLIENT'S ACTUAL JV/OPERATING AGREEMENT</t>
  </si>
  <si>
    <t xml:space="preserve">Party A (Capital Partner) — Title Interest %</t>
  </si>
  <si>
    <t xml:space="preserve">Title/reporting only — confirm whether title % drives economics or a separate waterfall governs, per the actual agreement.</t>
  </si>
  <si>
    <t xml:space="preserve">Party B (Operating Partner) — Title Interest %</t>
  </si>
  <si>
    <t xml:space="preserve">Total Capital Exposure (Party A's full acquisition + rehab + closing cost basis)</t>
  </si>
  <si>
    <t xml:space="preserve">EXAMPLE — this is the base the preferred return is calculated on. Definition varies by agreement — read the actual JV/operating agreement's capital-exposure clause before setting this.</t>
  </si>
  <si>
    <t xml:space="preserve">Primary Lien Amount to be Repaid (loan payoff)</t>
  </si>
  <si>
    <t xml:space="preserve">Defaults to the loan amount above — confirm against the actual payoff statement at closing.</t>
  </si>
  <si>
    <t xml:space="preserve">Secondary Lien Amount to be Repaid (if any)</t>
  </si>
  <si>
    <t xml:space="preserve">Preferred Return Rate (flat, applied to Total Capital Exposure)</t>
  </si>
  <si>
    <t xml:space="preserve">EXAMPLE — this MUST match the actual agreement's preferred-return clause. Confirm whether it's flat or annualized/prorated by hold period.</t>
  </si>
  <si>
    <t xml:space="preserve">Additional Party A Capital Contributions (logged as incurred)</t>
  </si>
  <si>
    <t xml:space="preserve">Use this for any capital Party A contributes beyond the initial funding — reserves, cost overruns, etc. — if the agreement has a mechanism for this (often called an 'Exhibit B' or similar). $0 if not applicable.</t>
  </si>
  <si>
    <t xml:space="preserve">Party B Out-of-Pocket Costs, Unreimbursed (rehab, etc.)</t>
  </si>
  <si>
    <t xml:space="preserve">Only if Party B personally funds costs not otherwise reimbursed. $0 if not applicable.</t>
  </si>
  <si>
    <t xml:space="preserve">Party B Management / Operating Fee Rate</t>
  </si>
  <si>
    <t xml:space="preserve">EXAMPLE — confirm the actual fee rate and its calculation base in the agreement.</t>
  </si>
  <si>
    <t xml:space="preserve">Residual Split — Party A</t>
  </si>
  <si>
    <t xml:space="preserve">EXAMPLE — confirm actual residual split.</t>
  </si>
  <si>
    <t xml:space="preserve">Residual Split — Party B</t>
  </si>
  <si>
    <t xml:space="preserve">EXAMPLE — must sum to 100% with Party A's share.</t>
  </si>
  <si>
    <t xml:space="preserve">CONTINGENCY FUNDING  —  DELETE IF NOT APPLICABLE TO THIS DEAL</t>
  </si>
  <si>
    <t xml:space="preserve">HOW TO USE: enter what Party A WILL actually contribute toward their capital requirement (not the amount removed). Only relevant if the deal has a fallback-funding mechanism for a second party.</t>
  </si>
  <si>
    <t xml:space="preserve">Party A Actual Available Capital  ◄◄ EDIT THIS CELL TO TEST SCENARIOS</t>
  </si>
  <si>
    <t xml:space="preserve">Defaults to the full equity requirement (no shortfall). Lower this to test a contingency-funding scenario.</t>
  </si>
  <si>
    <t xml:space="preserve">Rehab Budget — Itemized</t>
  </si>
  <si>
    <t xml:space="preserve">REPLACE with client's actual itemized contractor budget</t>
  </si>
  <si>
    <t xml:space="preserve">Category</t>
  </si>
  <si>
    <t xml:space="preserve">Line Item</t>
  </si>
  <si>
    <t xml:space="preserve">Budgeted Cost</t>
  </si>
  <si>
    <t xml:space="preserve">Scope Notes</t>
  </si>
  <si>
    <t xml:space="preserve">Exterior</t>
  </si>
  <si>
    <t xml:space="preserve">Roofing</t>
  </si>
  <si>
    <t xml:space="preserve">EXAMPLE ROW — replace or delete</t>
  </si>
  <si>
    <t xml:space="preserve">Siding / Paint</t>
  </si>
  <si>
    <t xml:space="preserve">EXAMPLE ROW</t>
  </si>
  <si>
    <t xml:space="preserve">Windows / Doors</t>
  </si>
  <si>
    <t xml:space="preserve">Landscaping</t>
  </si>
  <si>
    <t xml:space="preserve">Interior/Structural</t>
  </si>
  <si>
    <t xml:space="preserve">Framing / Structural Repair</t>
  </si>
  <si>
    <t xml:space="preserve">Drywall / Paint</t>
  </si>
  <si>
    <t xml:space="preserve">Flooring</t>
  </si>
  <si>
    <t xml:space="preserve">Kitchen</t>
  </si>
  <si>
    <t xml:space="preserve">Cabinets / Countertops</t>
  </si>
  <si>
    <t xml:space="preserve">Appliances</t>
  </si>
  <si>
    <t xml:space="preserve">Bathroom</t>
  </si>
  <si>
    <t xml:space="preserve">Fixtures / Tile</t>
  </si>
  <si>
    <t xml:space="preserve">Systems (Elec/HVAC/Plumbing)</t>
  </si>
  <si>
    <t xml:space="preserve">Electrical</t>
  </si>
  <si>
    <t xml:space="preserve">HVAC</t>
  </si>
  <si>
    <t xml:space="preserve">Plumbing</t>
  </si>
  <si>
    <t xml:space="preserve">Admin/Contingency</t>
  </si>
  <si>
    <t xml:space="preserve">Permits &amp; Inspections</t>
  </si>
  <si>
    <t xml:space="preserve">Contractor Contingency (typically 10%)</t>
  </si>
  <si>
    <t xml:space="preserve">Dumpster / Trash Out / Cleanup</t>
  </si>
  <si>
    <t xml:space="preserve">SUBTOTAL BY CATEGORY</t>
  </si>
  <si>
    <t xml:space="preserve">TOTAL REHAB BUDGET</t>
  </si>
  <si>
    <t xml:space="preserve">Sources &amp; Uses of Funds</t>
  </si>
  <si>
    <t xml:space="preserve">Closing through end of projected hold period</t>
  </si>
  <si>
    <t xml:space="preserve">USES OF FUNDS</t>
  </si>
  <si>
    <t xml:space="preserve">Loan Closing Costs</t>
  </si>
  <si>
    <t xml:space="preserve">Rehab Budget</t>
  </si>
  <si>
    <t xml:space="preserve">Total Project Cost (at closing)</t>
  </si>
  <si>
    <t xml:space="preserve">Lender-Required Payment Reserve</t>
  </si>
  <si>
    <t xml:space="preserve">Additional Loan Interest Beyond Reserve (if hold exceeds reserve period)</t>
  </si>
  <si>
    <t xml:space="preserve">Property Tax — full hold period</t>
  </si>
  <si>
    <t xml:space="preserve">Insurance — full hold period</t>
  </si>
  <si>
    <t xml:space="preserve">Utilities — full hold period</t>
  </si>
  <si>
    <t xml:space="preserve">HOA Dues — full hold period</t>
  </si>
  <si>
    <t xml:space="preserve">Total Holding-Period Cash Requirement</t>
  </si>
  <si>
    <t xml:space="preserve">TOTAL USES OF FUNDS</t>
  </si>
  <si>
    <t xml:space="preserve">SOURCES OF FUNDS</t>
  </si>
  <si>
    <t xml:space="preserve">Loan</t>
  </si>
  <si>
    <t xml:space="preserve">Earnest Money Deposit (already applied)</t>
  </si>
  <si>
    <t xml:space="preserve">Total Lender/Credit-Side Financing</t>
  </si>
  <si>
    <t xml:space="preserve">Total Capital Required (cash to close + reserve + holding overage)</t>
  </si>
  <si>
    <t xml:space="preserve">TOTAL SOURCES OF FUNDS</t>
  </si>
  <si>
    <t xml:space="preserve">Monthly Cash Flow — Closing Through Sale</t>
  </si>
  <si>
    <t xml:space="preserve">Projected month-by-month cash flow over the hold period</t>
  </si>
  <si>
    <t xml:space="preserve">Month 0
(Closing)</t>
  </si>
  <si>
    <t xml:space="preserve">Month 1</t>
  </si>
  <si>
    <t xml:space="preserve">Month 2</t>
  </si>
  <si>
    <t xml:space="preserve">Month 3</t>
  </si>
  <si>
    <t xml:space="preserve">Month 4</t>
  </si>
  <si>
    <t xml:space="preserve">Month 5</t>
  </si>
  <si>
    <t xml:space="preserve">Month 6</t>
  </si>
  <si>
    <t xml:space="preserve">Total</t>
  </si>
  <si>
    <t xml:space="preserve">Rehab Outlay (paid upfront, each month)</t>
  </si>
  <si>
    <t xml:space="preserve">Rehab Draw Reimbursement (if lender draws — adjust timing to match actual loan)</t>
  </si>
  <si>
    <t xml:space="preserve">Loan Interest-Only Payment</t>
  </si>
  <si>
    <t xml:space="preserve">Property Tax</t>
  </si>
  <si>
    <t xml:space="preserve">Insurance</t>
  </si>
  <si>
    <t xml:space="preserve">Utilities</t>
  </si>
  <si>
    <t xml:space="preserve">HOA</t>
  </si>
  <si>
    <t xml:space="preserve">Less: Seller/Broker Credits &amp; EMD Applied</t>
  </si>
  <si>
    <t xml:space="preserve">MONTHLY CASH OUTFLOW</t>
  </si>
  <si>
    <t xml:space="preserve">CUMULATIVE CASH INVESTED</t>
  </si>
  <si>
    <t xml:space="preserve">Rehab outlay/reimbursement timing shown here is an EXAMPLE (upfront, reimbursed the following month). Adjust to match the client's actual lender draw schedule and inspection timing.</t>
  </si>
  <si>
    <t xml:space="preserve">Disposition &amp; Returns</t>
  </si>
  <si>
    <t xml:space="preserve">Sale proceeds and the JV profit waterfall — capped priority order. Re-order steps to match the client's actual agreement.</t>
  </si>
  <si>
    <t xml:space="preserve">SALE PROCEEDS  (Step A — costs of sale)</t>
  </si>
  <si>
    <t xml:space="preserve">Less: Selling Commission</t>
  </si>
  <si>
    <t xml:space="preserve">Less: Selling Closing Costs</t>
  </si>
  <si>
    <t xml:space="preserve">Net Sale Proceeds (available for the waterfall below)</t>
  </si>
  <si>
    <t xml:space="preserve">PROFIT WATERFALL  —  each step capped by cash actually remaining (no negative payouts)</t>
  </si>
  <si>
    <t xml:space="preserve">Step B — Primary Lien Holder — Nominal Amount Owed</t>
  </si>
  <si>
    <t xml:space="preserve">Step B — Primary Lien Holder — Actual Paid (capped at cash remaining)</t>
  </si>
  <si>
    <t xml:space="preserve">Step B — Primary Lien Holder — Shortfall (unpaid if underfunded)</t>
  </si>
  <si>
    <t xml:space="preserve">Cash Remaining After Step B — Primary Lien Holder</t>
  </si>
  <si>
    <t xml:space="preserve">Step C — Secondary Lien Holder — Nominal Amount Owed</t>
  </si>
  <si>
    <t xml:space="preserve">Step C — Secondary Lien Holder — Actual Paid (capped at cash remaining)</t>
  </si>
  <si>
    <t xml:space="preserve">Step C — Secondary Lien Holder — Shortfall (unpaid if underfunded)</t>
  </si>
  <si>
    <t xml:space="preserve">Cash Remaining After Step C — Secondary Lien Holder</t>
  </si>
  <si>
    <t xml:space="preserve">Step D — Party A: Return of Capital + Preferred Return</t>
  </si>
  <si>
    <t xml:space="preserve">Total Capital Exposure</t>
  </si>
  <si>
    <t xml:space="preserve">Less: Primary Lien Actually Repaid at Step B (credited as partial return of capital)</t>
  </si>
  <si>
    <t xml:space="preserve">  Party A Full Equity Requirement (Capital Exposure − Primary Lien Repaid)</t>
  </si>
  <si>
    <t xml:space="preserve">  Party A Actual Available Capital (editable — see Assumptions)</t>
  </si>
  <si>
    <t xml:space="preserve">  Shortfall Covered by Party B Contingency (see below — delete section if not applicable)</t>
  </si>
  <si>
    <t xml:space="preserve">  Party A Equity Returned (= actual capital contributed)</t>
  </si>
  <si>
    <t xml:space="preserve">  Preferred Return (rate x Total Capital Exposure — confirm flat vs. annualized per agreement)</t>
  </si>
  <si>
    <t xml:space="preserve">Step D Total to Party A — Nominal Amount Owed</t>
  </si>
  <si>
    <t xml:space="preserve">Step D Total to Party A — Actual Paid (capped at cash remaining)</t>
  </si>
  <si>
    <t xml:space="preserve">Step D Total to Party A — Shortfall (unpaid if underfunded)</t>
  </si>
  <si>
    <t xml:space="preserve">Cash Remaining After Step D Total to Party A</t>
  </si>
  <si>
    <t xml:space="preserve">CONTINGENCY PRINCIPAL  —  Party B Fallback Funding (DELETE if not applicable to this deal)</t>
  </si>
  <si>
    <t xml:space="preserve">Party B Contingency Contribution (= shortfall above)</t>
  </si>
  <si>
    <t xml:space="preserve">Return of Contingency Capital (principal) — Nominal Amount Owed</t>
  </si>
  <si>
    <t xml:space="preserve">Return of Contingency Capital (principal) — Actual Paid (capped at cash remaining)</t>
  </si>
  <si>
    <t xml:space="preserve">Return of Contingency Capital (principal) — Shortfall (unpaid if underfunded)</t>
  </si>
  <si>
    <t xml:space="preserve">Cash Remaining After Return of Contingency Capital (principal)</t>
  </si>
  <si>
    <t xml:space="preserve">Premium on Contingency Contribution (nominal — charged to Party A's share below, not this pool)</t>
  </si>
  <si>
    <t xml:space="preserve">Step E — Party A: Additional Capital Contributions + Return (DELETE if not applicable)</t>
  </si>
  <si>
    <t xml:space="preserve">Additional Contributions</t>
  </si>
  <si>
    <t xml:space="preserve">  Return on Additional Contributions</t>
  </si>
  <si>
    <t xml:space="preserve">Step E Total to Party A — Nominal Amount Owed</t>
  </si>
  <si>
    <t xml:space="preserve">Step E Total to Party A — Actual Paid (capped at cash remaining)</t>
  </si>
  <si>
    <t xml:space="preserve">Step E Total to Party A — Shortfall (unpaid if underfunded)</t>
  </si>
  <si>
    <t xml:space="preserve">Cash Remaining After Step E Total to Party A</t>
  </si>
  <si>
    <t xml:space="preserve">Step F — Party B: Unreimbursed Out-of-Pocket Costs + Return (DELETE if not applicable)</t>
  </si>
  <si>
    <t xml:space="preserve">Party B Out-of-Pocket Costs</t>
  </si>
  <si>
    <t xml:space="preserve">  Return on Costs</t>
  </si>
  <si>
    <t xml:space="preserve">Step F Total to Party B — Nominal Amount Owed</t>
  </si>
  <si>
    <t xml:space="preserve">Step F Total to Party B — Actual Paid (capped at cash remaining)</t>
  </si>
  <si>
    <t xml:space="preserve">Step F Total to Party B — Shortfall (unpaid if underfunded)</t>
  </si>
  <si>
    <t xml:space="preserve">Cash Remaining After Step F Total to Party B</t>
  </si>
  <si>
    <t xml:space="preserve">Step G — Party B: Management / Operating Fee</t>
  </si>
  <si>
    <t xml:space="preserve">Fee Base (confirm actual calculation basis per agreement)</t>
  </si>
  <si>
    <t xml:space="preserve">Step G Management Fee to Party B — Nominal Amount Owed</t>
  </si>
  <si>
    <t xml:space="preserve">Step G Management Fee to Party B — Actual Paid (capped at cash remaining)</t>
  </si>
  <si>
    <t xml:space="preserve">Step G Management Fee to Party B — Shortfall (unpaid if underfunded)</t>
  </si>
  <si>
    <t xml:space="preserve">Cash Remaining After Step G Management Fee to Party B</t>
  </si>
  <si>
    <t xml:space="preserve">Step H — Residual Split</t>
  </si>
  <si>
    <t xml:space="preserve">Remaining After Steps D, Contingency Principal, E, F, G (always ≥ 0)</t>
  </si>
  <si>
    <t xml:space="preserve">  Party A Share of Residual</t>
  </si>
  <si>
    <t xml:space="preserve">  Party B Share of Residual</t>
  </si>
  <si>
    <t xml:space="preserve">Every step above is capped at cash actually remaining (via MIN), so nothing here can go negative — if proceeds run out, later steps simply pay $0 rather than a negative distribution. Only the contingency PRINCIPAL is removed before the residual split; any PREMIUM on it is charged directly against Party A's share below (also capped, so Party A can't be charged more than they actually have) — this keeps a fallback funder's return from being diluted through the shared residual split.</t>
  </si>
  <si>
    <t xml:space="preserve">TOTAL DISTRIBUTIONS</t>
  </si>
  <si>
    <t xml:space="preserve">Party A Total Before Contingency Premium (Step D paid + Step E paid + Step H share)</t>
  </si>
  <si>
    <t xml:space="preserve">Contingency Premium Charged to Party A (capped at what Party A actually has)</t>
  </si>
  <si>
    <t xml:space="preserve">Party A Total (after Contingency Premium charge)</t>
  </si>
  <si>
    <t xml:space="preserve">Party B Total (Contingency Principal + Premium + Step F + Step G + Step H share)</t>
  </si>
  <si>
    <t xml:space="preserve">QA CHECK — must equal $0.00: Party A + Party B = Remaining After Liens</t>
  </si>
  <si>
    <t xml:space="preserve">ECONOMIC PROFIT SUMMARY</t>
  </si>
  <si>
    <t xml:space="preserve">Party A Actual Capital Invested (Step D equity + Step E contribution)</t>
  </si>
  <si>
    <t xml:space="preserve">Party A Net Profit (Total Distribution − Capital Invested)</t>
  </si>
  <si>
    <t xml:space="preserve">Party B Out-of-Pocket Invested (Contingency + Step F costs)</t>
  </si>
  <si>
    <t xml:space="preserve">Party B Net Profit (Total Distribution − Amount Invested)</t>
  </si>
  <si>
    <t xml:space="preserve">NET PROJECT PROFIT (Party A + Party B)</t>
  </si>
  <si>
    <t xml:space="preserve">TEMPLATE — re-verify against the actual agreement before use: (1) confirm whether title interest % drives economics or a separate waterfall governs (state this explicitly to the client either way); (2) confirm the step order above matches the agreement's actual distribution-of-proceeds section — reorder if not; (3) delete the Contingency and Step E/F sections entirely if the deal has no such mechanisms; (4) confirm whether the preferred return is flat or prorated by hold period; (5) test at a below-ARV sale price and confirm the QA check row stays at $0.00 with no negative distributions before delivering.</t>
  </si>
</sst>
</file>

<file path=xl/styles.xml><?xml version="1.0" encoding="utf-8"?>
<styleSheet xmlns="http://schemas.openxmlformats.org/spreadsheetml/2006/main">
  <numFmts count="6">
    <numFmt numFmtId="164" formatCode="General"/>
    <numFmt numFmtId="165" formatCode="mmmm\ d&quot;, &quot;yyyy"/>
    <numFmt numFmtId="166" formatCode="\$#,##0;&quot;($&quot;#,##0\);\-"/>
    <numFmt numFmtId="167" formatCode="0.0%"/>
    <numFmt numFmtId="168" formatCode="0"/>
    <numFmt numFmtId="169" formatCode="\$#,##0.00;&quot;($&quot;#,##0.00\);\-"/>
  </numFmts>
  <fonts count="22">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1"/>
      <color rgb="FF1F3864"/>
      <name val="Arial"/>
      <family val="0"/>
      <charset val="1"/>
    </font>
    <font>
      <sz val="10"/>
      <name val="Arial"/>
      <family val="0"/>
      <charset val="1"/>
    </font>
    <font>
      <i val="true"/>
      <sz val="8"/>
      <color rgb="FF808080"/>
      <name val="Arial"/>
      <family val="0"/>
      <charset val="1"/>
    </font>
    <font>
      <b val="true"/>
      <sz val="10"/>
      <color rgb="FFFFFFFF"/>
      <name val="Arial"/>
      <family val="0"/>
      <charset val="1"/>
    </font>
    <font>
      <sz val="10"/>
      <color rgb="FF000000"/>
      <name val="Arial"/>
      <family val="0"/>
      <charset val="1"/>
    </font>
    <font>
      <b val="true"/>
      <sz val="11"/>
      <name val="Arial"/>
      <family val="0"/>
      <charset val="1"/>
    </font>
    <font>
      <b val="true"/>
      <sz val="10"/>
      <color rgb="FF000000"/>
      <name val="Arial"/>
      <family val="0"/>
      <charset val="1"/>
    </font>
    <font>
      <sz val="9"/>
      <color rgb="FFC00000"/>
      <name val="Arial"/>
      <family val="0"/>
      <charset val="1"/>
    </font>
    <font>
      <sz val="10"/>
      <color rgb="FF0000FF"/>
      <name val="Arial"/>
      <family val="0"/>
      <charset val="1"/>
    </font>
    <font>
      <i val="true"/>
      <sz val="8"/>
      <color rgb="FFC00000"/>
      <name val="Arial"/>
      <family val="0"/>
      <charset val="1"/>
    </font>
    <font>
      <b val="true"/>
      <sz val="9"/>
      <color rgb="FFC00000"/>
      <name val="Arial"/>
      <family val="0"/>
      <charset val="1"/>
    </font>
    <font>
      <sz val="8"/>
      <color rgb="FF595959"/>
      <name val="Arial"/>
      <family val="0"/>
      <charset val="1"/>
    </font>
    <font>
      <b val="true"/>
      <sz val="10"/>
      <name val="Arial"/>
      <family val="0"/>
      <charset val="1"/>
    </font>
    <font>
      <b val="true"/>
      <sz val="10"/>
      <color rgb="FF1F3864"/>
      <name val="Arial"/>
      <family val="0"/>
      <charset val="1"/>
    </font>
    <font>
      <i val="true"/>
      <sz val="9"/>
      <color rgb="FF595959"/>
      <name val="Arial"/>
      <family val="0"/>
      <charset val="1"/>
    </font>
    <font>
      <i val="true"/>
      <sz val="8"/>
      <color rgb="FF00800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C00000"/>
        <bgColor rgb="FF800000"/>
      </patternFill>
    </fill>
    <fill>
      <patternFill patternType="solid">
        <fgColor rgb="FFFFFF00"/>
        <bgColor rgb="FFFFFF00"/>
      </patternFill>
    </fill>
    <fill>
      <patternFill patternType="solid">
        <fgColor rgb="FFF2F2F2"/>
        <bgColor rgb="FFFFFFFF"/>
      </patternFill>
    </fill>
  </fills>
  <borders count="3">
    <border diagonalUp="false" diagonalDown="false">
      <left/>
      <right/>
      <top/>
      <bottom/>
      <diagonal/>
    </border>
    <border diagonalUp="false" diagonalDown="false">
      <left/>
      <right/>
      <top style="double"/>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left" vertical="center" textRotation="0" wrapText="false" indent="1"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64" fontId="9" fillId="3" borderId="0" xfId="0" applyFont="true" applyBorder="true" applyAlignment="true" applyProtection="false">
      <alignment horizontal="left" vertical="center" textRotation="0" wrapText="false" indent="1"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xf numFmtId="166" fontId="14" fillId="4" borderId="0" xfId="0" applyFont="true" applyBorder="false" applyAlignment="true" applyProtection="false">
      <alignment horizontal="right"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8" fontId="14" fillId="4" borderId="0" xfId="0" applyFont="true" applyBorder="false" applyAlignment="true" applyProtection="false">
      <alignment horizontal="right" vertical="bottom" textRotation="0" wrapText="false" indent="0" shrinkToFit="false"/>
      <protection locked="true" hidden="false"/>
    </xf>
    <xf numFmtId="168" fontId="10" fillId="0" borderId="0" xfId="0" applyFont="true" applyBorder="false" applyAlignment="true" applyProtection="false">
      <alignment horizontal="right" vertical="bottom" textRotation="0" wrapText="false" indent="0" shrinkToFit="false"/>
      <protection locked="true" hidden="false"/>
    </xf>
    <xf numFmtId="166" fontId="10" fillId="4" borderId="0" xfId="0" applyFont="true" applyBorder="false" applyAlignment="true" applyProtection="false">
      <alignment horizontal="right" vertical="bottom" textRotation="0" wrapText="false" indent="0" shrinkToFit="false"/>
      <protection locked="true" hidden="false"/>
    </xf>
    <xf numFmtId="167" fontId="14" fillId="0" borderId="0" xfId="0" applyFont="true" applyBorder="false" applyAlignment="true" applyProtection="false">
      <alignment horizontal="right" vertical="bottom" textRotation="0" wrapText="false" indent="0" shrinkToFit="false"/>
      <protection locked="true" hidden="false"/>
    </xf>
    <xf numFmtId="166" fontId="14" fillId="0" borderId="0" xfId="0" applyFont="true" applyBorder="false" applyAlignment="true" applyProtection="false">
      <alignment horizontal="right"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true" indent="0" shrinkToFit="false"/>
      <protection locked="true" hidden="false"/>
    </xf>
    <xf numFmtId="164" fontId="9" fillId="2" borderId="0" xfId="0" applyFont="true" applyBorder="false" applyAlignment="true" applyProtection="false">
      <alignment horizontal="left" vertical="bottom" textRotation="0" wrapText="false" indent="0" shrinkToFit="false"/>
      <protection locked="true" hidden="false"/>
    </xf>
    <xf numFmtId="164" fontId="9" fillId="2"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66" fontId="14" fillId="5" borderId="0" xfId="0" applyFont="true" applyBorder="false" applyAlignment="true" applyProtection="false">
      <alignment horizontal="right" vertical="bottom" textRotation="0" wrapText="false" indent="0" shrinkToFit="false"/>
      <protection locked="true" hidden="false"/>
    </xf>
    <xf numFmtId="164" fontId="17" fillId="5" borderId="0" xfId="0" applyFont="true" applyBorder="false" applyAlignment="false" applyProtection="false">
      <alignment horizontal="general" vertical="bottom" textRotation="0" wrapText="false" indent="0" shrinkToFit="false"/>
      <protection locked="true" hidden="false"/>
    </xf>
    <xf numFmtId="164" fontId="12" fillId="0" borderId="2" xfId="0" applyFont="true" applyBorder="true" applyAlignment="false" applyProtection="false">
      <alignment horizontal="general" vertical="bottom" textRotation="0" wrapText="false" indent="0" shrinkToFit="false"/>
      <protection locked="true" hidden="false"/>
    </xf>
    <xf numFmtId="166" fontId="12" fillId="0" borderId="2"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bottom" textRotation="0" wrapText="tru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6" fontId="18"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6" fontId="19"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bottom"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6"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9" fontId="2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2095200</xdr:colOff>
      <xdr:row>3</xdr:row>
      <xdr:rowOff>104400</xdr:rowOff>
    </xdr:to>
    <xdr:pic>
      <xdr:nvPicPr>
        <xdr:cNvPr id="0" name="Image 1" descr="Picture"/>
        <xdr:cNvPicPr/>
      </xdr:nvPicPr>
      <xdr:blipFill>
        <a:blip r:embed="rId1"/>
        <a:stretch/>
      </xdr:blipFill>
      <xdr:spPr>
        <a:xfrm>
          <a:off x="0" y="0"/>
          <a:ext cx="2095200" cy="8474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2095200</xdr:colOff>
      <xdr:row>3</xdr:row>
      <xdr:rowOff>104400</xdr:rowOff>
    </xdr:to>
    <xdr:pic>
      <xdr:nvPicPr>
        <xdr:cNvPr id="1" name="Image 1" descr="Picture"/>
        <xdr:cNvPicPr/>
      </xdr:nvPicPr>
      <xdr:blipFill>
        <a:blip r:embed="rId1"/>
        <a:stretch/>
      </xdr:blipFill>
      <xdr:spPr>
        <a:xfrm>
          <a:off x="0" y="0"/>
          <a:ext cx="2095200" cy="8474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A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5"/>
  </cols>
  <sheetData>
    <row r="1" customFormat="false" ht="19.5" hidden="false" customHeight="true" outlineLevel="0" collapsed="false"/>
    <row r="2" customFormat="false" ht="19.5" hidden="false" customHeight="true" outlineLevel="0" collapsed="false"/>
    <row r="3" customFormat="false" ht="19.5" hidden="false" customHeight="true" outlineLevel="0" collapsed="false"/>
    <row r="4" customFormat="false" ht="19.5" hidden="false" customHeight="true" outlineLevel="0" collapsed="false"/>
    <row r="5" customFormat="false" ht="19.5" hidden="false" customHeight="true" outlineLevel="0" collapsed="false"/>
    <row r="6" customFormat="false" ht="19.5" hidden="false" customHeight="true" outlineLevel="0" collapsed="false"/>
    <row r="8" customFormat="false" ht="25.5" hidden="false" customHeight="true" outlineLevel="0" collapsed="false">
      <c r="A8" s="1" t="s">
        <v>0</v>
      </c>
    </row>
    <row r="9" customFormat="false" ht="15.75" hidden="false" customHeight="true" outlineLevel="0" collapsed="false">
      <c r="A9" s="2" t="s">
        <v>1</v>
      </c>
    </row>
    <row r="11" customFormat="false" ht="15" hidden="false" customHeight="false" outlineLevel="0" collapsed="false">
      <c r="A11" s="3" t="s">
        <v>2</v>
      </c>
    </row>
    <row r="12" customFormat="false" ht="60" hidden="false" customHeight="true" outlineLevel="0" collapsed="false">
      <c r="A12" s="4" t="s">
        <v>3</v>
      </c>
    </row>
    <row r="14" customFormat="false" ht="15" hidden="false" customHeight="false" outlineLevel="0" collapsed="false">
      <c r="A14" s="3" t="s">
        <v>4</v>
      </c>
    </row>
    <row r="15" customFormat="false" ht="60" hidden="false" customHeight="true" outlineLevel="0" collapsed="false">
      <c r="A15" s="4" t="s">
        <v>5</v>
      </c>
    </row>
    <row r="17" customFormat="false" ht="15" hidden="false" customHeight="false" outlineLevel="0" collapsed="false">
      <c r="A17" s="3" t="s">
        <v>6</v>
      </c>
    </row>
    <row r="18" customFormat="false" ht="60" hidden="false" customHeight="true" outlineLevel="0" collapsed="false">
      <c r="A18" s="4" t="s">
        <v>7</v>
      </c>
    </row>
    <row r="20" customFormat="false" ht="15" hidden="false" customHeight="false" outlineLevel="0" collapsed="false">
      <c r="A20" s="3" t="s">
        <v>8</v>
      </c>
    </row>
    <row r="21" customFormat="false" ht="60" hidden="false" customHeight="true" outlineLevel="0" collapsed="false">
      <c r="A21" s="4" t="s">
        <v>9</v>
      </c>
    </row>
    <row r="23" customFormat="false" ht="15" hidden="false" customHeight="false" outlineLevel="0" collapsed="false">
      <c r="A23" s="3" t="s">
        <v>10</v>
      </c>
    </row>
    <row r="24" customFormat="false" ht="60" hidden="false" customHeight="true" outlineLevel="0" collapsed="false">
      <c r="A24" s="4" t="s">
        <v>11</v>
      </c>
    </row>
    <row r="26" customFormat="false" ht="15" hidden="false" customHeight="false" outlineLevel="0" collapsed="false">
      <c r="A26" s="3" t="s">
        <v>12</v>
      </c>
    </row>
    <row r="27" customFormat="false" ht="60" hidden="false" customHeight="true" outlineLevel="0" collapsed="false">
      <c r="A27" s="4" t="s">
        <v>13</v>
      </c>
    </row>
    <row r="29" customFormat="false" ht="15" hidden="false" customHeight="false" outlineLevel="0" collapsed="false">
      <c r="A29" s="3" t="s">
        <v>14</v>
      </c>
    </row>
    <row r="30" customFormat="false" ht="60" hidden="false" customHeight="true" outlineLevel="0" collapsed="false">
      <c r="A30" s="4" t="s">
        <v>15</v>
      </c>
    </row>
    <row r="32" customFormat="false" ht="15" hidden="false" customHeight="false" outlineLevel="0" collapsed="false">
      <c r="A32" s="3" t="s">
        <v>16</v>
      </c>
    </row>
    <row r="33" customFormat="false" ht="60" hidden="false" customHeight="true" outlineLevel="0" collapsed="false">
      <c r="A33" s="4"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G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4"/>
    <col collapsed="false" customWidth="true" hidden="false" outlineLevel="0" max="4" min="4" style="0" width="26"/>
    <col collapsed="false" customWidth="true" hidden="false" outlineLevel="0" max="5" min="5" style="0" width="18"/>
    <col collapsed="false" customWidth="true" hidden="false" outlineLevel="0" max="6" min="6" style="0" width="4"/>
    <col collapsed="false" customWidth="true" hidden="false" outlineLevel="0" max="7" min="7" style="0" width="30"/>
  </cols>
  <sheetData>
    <row r="1" customFormat="false" ht="19.5" hidden="false" customHeight="true" outlineLevel="0" collapsed="false"/>
    <row r="2" customFormat="false" ht="19.5" hidden="false" customHeight="true" outlineLevel="0" collapsed="false"/>
    <row r="3" customFormat="false" ht="19.5" hidden="false" customHeight="true" outlineLevel="0" collapsed="false"/>
    <row r="4" customFormat="false" ht="19.5" hidden="false" customHeight="true" outlineLevel="0" collapsed="false"/>
    <row r="5" customFormat="false" ht="19.5" hidden="false" customHeight="true" outlineLevel="0" collapsed="false"/>
    <row r="6" customFormat="false" ht="19.5" hidden="false" customHeight="true" outlineLevel="0" collapsed="false"/>
    <row r="8" customFormat="false" ht="25.5" hidden="false" customHeight="true" outlineLevel="0" collapsed="false">
      <c r="A8" s="5" t="s">
        <v>18</v>
      </c>
      <c r="B8" s="5"/>
      <c r="C8" s="5"/>
      <c r="D8" s="5"/>
      <c r="E8" s="5"/>
      <c r="F8" s="5"/>
      <c r="G8" s="5"/>
    </row>
    <row r="9" customFormat="false" ht="15.75" hidden="false" customHeight="true" outlineLevel="0" collapsed="false">
      <c r="A9" s="6" t="s">
        <v>19</v>
      </c>
      <c r="B9" s="6"/>
      <c r="C9" s="6"/>
      <c r="D9" s="6"/>
      <c r="E9" s="6"/>
      <c r="F9" s="6"/>
      <c r="G9" s="6"/>
    </row>
    <row r="11" customFormat="false" ht="15" hidden="false" customHeight="false" outlineLevel="0" collapsed="false">
      <c r="A11" s="7" t="s">
        <v>20</v>
      </c>
      <c r="B11" s="8" t="n">
        <f aca="true">TODAY()</f>
        <v>46236</v>
      </c>
    </row>
    <row r="13" customFormat="false" ht="18" hidden="false" customHeight="true" outlineLevel="0" collapsed="false">
      <c r="A13" s="9" t="s">
        <v>21</v>
      </c>
      <c r="B13" s="9"/>
      <c r="C13" s="9"/>
      <c r="D13" s="9"/>
      <c r="E13" s="9"/>
      <c r="F13" s="9"/>
      <c r="G13" s="9"/>
    </row>
    <row r="15" customFormat="false" ht="15" hidden="false" customHeight="false" outlineLevel="0" collapsed="false">
      <c r="A15" s="10" t="s">
        <v>22</v>
      </c>
      <c r="B15" s="11" t="n">
        <f aca="false">Assumptions!B12</f>
        <v>300000</v>
      </c>
    </row>
    <row r="16" customFormat="false" ht="15" hidden="false" customHeight="false" outlineLevel="0" collapsed="false">
      <c r="A16" s="10" t="s">
        <v>23</v>
      </c>
      <c r="B16" s="11" t="n">
        <f aca="false">Assumptions!B14</f>
        <v>450000</v>
      </c>
    </row>
    <row r="17" customFormat="false" ht="15" hidden="false" customHeight="false" outlineLevel="0" collapsed="false">
      <c r="A17" s="10" t="s">
        <v>24</v>
      </c>
      <c r="B17" s="11" t="n">
        <f aca="false">'Rehab Budget'!C30</f>
        <v>45000</v>
      </c>
    </row>
    <row r="18" customFormat="false" ht="15" hidden="false" customHeight="false" outlineLevel="0" collapsed="false">
      <c r="A18" s="10" t="s">
        <v>25</v>
      </c>
      <c r="B18" s="11" t="n">
        <f aca="false">'Sources &amp; Uses'!B10</f>
        <v>353000</v>
      </c>
    </row>
    <row r="19" customFormat="false" ht="15" hidden="false" customHeight="false" outlineLevel="0" collapsed="false">
      <c r="A19" s="10" t="s">
        <v>26</v>
      </c>
      <c r="B19" s="11" t="n">
        <f aca="false">'Sources &amp; Uses'!B31</f>
        <v>117250</v>
      </c>
    </row>
    <row r="21" customFormat="false" ht="18" hidden="false" customHeight="true" outlineLevel="0" collapsed="false">
      <c r="A21" s="9" t="s">
        <v>27</v>
      </c>
      <c r="B21" s="9"/>
      <c r="C21" s="9"/>
      <c r="D21" s="9"/>
      <c r="E21" s="9"/>
      <c r="F21" s="9"/>
      <c r="G21" s="9"/>
    </row>
    <row r="23" customFormat="false" ht="15" hidden="false" customHeight="false" outlineLevel="0" collapsed="false">
      <c r="A23" s="10" t="s">
        <v>28</v>
      </c>
      <c r="B23" s="11" t="n">
        <f aca="false">'Disposition &amp; Returns'!B10</f>
        <v>416250</v>
      </c>
    </row>
    <row r="24" customFormat="false" ht="15" hidden="false" customHeight="false" outlineLevel="0" collapsed="false">
      <c r="A24" s="10" t="s">
        <v>29</v>
      </c>
      <c r="B24" s="11" t="n">
        <f aca="false">-'Disposition &amp; Returns'!B15</f>
        <v>-250000</v>
      </c>
    </row>
    <row r="25" customFormat="false" ht="15" hidden="false" customHeight="false" outlineLevel="0" collapsed="false">
      <c r="A25" s="10" t="s">
        <v>30</v>
      </c>
      <c r="B25" s="11" t="n">
        <f aca="false">-('Disposition &amp; Returns'!B104+'Disposition &amp; Returns'!B106)</f>
        <v>-98000</v>
      </c>
    </row>
    <row r="26" customFormat="false" ht="15" hidden="false" customHeight="false" outlineLevel="0" collapsed="false">
      <c r="A26" s="12" t="s">
        <v>31</v>
      </c>
      <c r="B26" s="13" t="n">
        <f aca="false">'Disposition &amp; Returns'!B109</f>
        <v>68250</v>
      </c>
    </row>
    <row r="27" customFormat="false" ht="15" hidden="false" customHeight="false" outlineLevel="0" collapsed="false">
      <c r="A27" s="14" t="s">
        <v>32</v>
      </c>
      <c r="B27" s="15" t="n">
        <f aca="false">B26/-B25</f>
        <v>0.696428571428571</v>
      </c>
    </row>
    <row r="28" customFormat="false" ht="15" hidden="false" customHeight="false" outlineLevel="0" collapsed="false">
      <c r="A28" s="14" t="s">
        <v>33</v>
      </c>
      <c r="B28" s="15" t="n">
        <f aca="false">B27*(12/Assumptions!B34)</f>
        <v>1.67142857142857</v>
      </c>
    </row>
    <row r="30" customFormat="false" ht="18" hidden="false" customHeight="true" outlineLevel="0" collapsed="false">
      <c r="A30" s="9" t="s">
        <v>34</v>
      </c>
      <c r="B30" s="9"/>
      <c r="C30" s="9"/>
      <c r="D30" s="9"/>
      <c r="E30" s="9"/>
      <c r="F30" s="9"/>
      <c r="G30" s="9"/>
    </row>
    <row r="32" customFormat="false" ht="15" hidden="false" customHeight="false" outlineLevel="0" collapsed="false">
      <c r="A32" s="10" t="s">
        <v>35</v>
      </c>
      <c r="B32" s="11" t="n">
        <f aca="false">'Disposition &amp; Returns'!B37</f>
        <v>150200</v>
      </c>
    </row>
    <row r="33" customFormat="false" ht="15" hidden="false" customHeight="false" outlineLevel="0" collapsed="false">
      <c r="A33" s="10" t="s">
        <v>36</v>
      </c>
      <c r="B33" s="11" t="n">
        <f aca="false">'Disposition &amp; Returns'!B47+'Disposition &amp; Returns'!B96</f>
        <v>0</v>
      </c>
    </row>
    <row r="34" customFormat="false" ht="15" hidden="false" customHeight="false" outlineLevel="0" collapsed="false">
      <c r="A34" s="10" t="s">
        <v>37</v>
      </c>
      <c r="B34" s="11" t="n">
        <f aca="false">'Disposition &amp; Returns'!B60</f>
        <v>0</v>
      </c>
    </row>
    <row r="35" customFormat="false" ht="15" hidden="false" customHeight="false" outlineLevel="0" collapsed="false">
      <c r="A35" s="10" t="s">
        <v>38</v>
      </c>
      <c r="B35" s="11" t="n">
        <f aca="false">'Disposition &amp; Returns'!B71+'Disposition &amp; Returns'!B81</f>
        <v>13920</v>
      </c>
    </row>
    <row r="36" customFormat="false" ht="15" hidden="false" customHeight="false" outlineLevel="0" collapsed="false">
      <c r="A36" s="10" t="s">
        <v>39</v>
      </c>
      <c r="B36" s="11" t="n">
        <f aca="false">'Disposition &amp; Returns'!B88</f>
        <v>2130</v>
      </c>
    </row>
    <row r="38" customFormat="false" ht="15" hidden="false" customHeight="false" outlineLevel="0" collapsed="false">
      <c r="A38" s="14" t="s">
        <v>40</v>
      </c>
      <c r="B38" s="11" t="n">
        <f aca="false">'Disposition &amp; Returns'!B97</f>
        <v>150626</v>
      </c>
    </row>
    <row r="39" customFormat="false" ht="15" hidden="false" customHeight="false" outlineLevel="0" collapsed="false">
      <c r="A39" s="14" t="s">
        <v>41</v>
      </c>
      <c r="B39" s="11" t="n">
        <f aca="false">'Disposition &amp; Returns'!B98</f>
        <v>15624</v>
      </c>
    </row>
    <row r="41" customFormat="false" ht="15" hidden="false" customHeight="false" outlineLevel="0" collapsed="false">
      <c r="A41" s="14" t="s">
        <v>42</v>
      </c>
      <c r="B41" s="11" t="n">
        <f aca="false">'Disposition &amp; Returns'!B105</f>
        <v>52626</v>
      </c>
    </row>
    <row r="42" customFormat="false" ht="15" hidden="false" customHeight="false" outlineLevel="0" collapsed="false">
      <c r="A42" s="14" t="s">
        <v>43</v>
      </c>
      <c r="B42" s="11" t="n">
        <f aca="false">'Disposition &amp; Returns'!B107</f>
        <v>15624</v>
      </c>
    </row>
    <row r="44" customFormat="false" ht="18" hidden="false" customHeight="true" outlineLevel="0" collapsed="false">
      <c r="A44" s="16" t="s">
        <v>44</v>
      </c>
      <c r="B44" s="16"/>
      <c r="C44" s="16"/>
      <c r="D44" s="16"/>
      <c r="E44" s="16"/>
      <c r="F44" s="16"/>
      <c r="G44" s="16"/>
    </row>
    <row r="46" customFormat="false" ht="25.5" hidden="false" customHeight="true" outlineLevel="0" collapsed="false">
      <c r="A46" s="17" t="s">
        <v>45</v>
      </c>
      <c r="B46" s="17"/>
      <c r="C46" s="17"/>
      <c r="D46" s="17"/>
      <c r="E46" s="17"/>
      <c r="F46" s="17"/>
      <c r="G46" s="17"/>
    </row>
    <row r="47" customFormat="false" ht="25.5" hidden="false" customHeight="true" outlineLevel="0" collapsed="false">
      <c r="A47" s="17" t="s">
        <v>46</v>
      </c>
      <c r="B47" s="17"/>
      <c r="C47" s="17"/>
      <c r="D47" s="17"/>
      <c r="E47" s="17"/>
      <c r="F47" s="17"/>
      <c r="G47" s="17"/>
    </row>
    <row r="48" customFormat="false" ht="25.5" hidden="false" customHeight="true" outlineLevel="0" collapsed="false">
      <c r="A48" s="17" t="s">
        <v>47</v>
      </c>
      <c r="B48" s="17"/>
      <c r="C48" s="17"/>
      <c r="D48" s="17"/>
      <c r="E48" s="17"/>
      <c r="F48" s="17"/>
      <c r="G48" s="17"/>
    </row>
    <row r="49" customFormat="false" ht="25.5" hidden="false" customHeight="true" outlineLevel="0" collapsed="false">
      <c r="A49" s="17" t="s">
        <v>48</v>
      </c>
      <c r="B49" s="17"/>
      <c r="C49" s="17"/>
      <c r="D49" s="17"/>
      <c r="E49" s="17"/>
      <c r="F49" s="17"/>
      <c r="G49" s="17"/>
    </row>
  </sheetData>
  <mergeCells count="10">
    <mergeCell ref="A8:G8"/>
    <mergeCell ref="A9:G9"/>
    <mergeCell ref="A13:G13"/>
    <mergeCell ref="A21:G21"/>
    <mergeCell ref="A30:G30"/>
    <mergeCell ref="A44:G44"/>
    <mergeCell ref="A46:G46"/>
    <mergeCell ref="A47:G47"/>
    <mergeCell ref="A48:G48"/>
    <mergeCell ref="A49:G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D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8"/>
    <col collapsed="false" customWidth="true" hidden="false" outlineLevel="0" max="3" min="3" style="0" width="4"/>
    <col collapsed="false" customWidth="true" hidden="false" outlineLevel="0" max="4" min="4" style="0" width="48"/>
  </cols>
  <sheetData>
    <row r="1" customFormat="false" ht="25.5" hidden="false" customHeight="true" outlineLevel="0" collapsed="false">
      <c r="A1" s="5" t="s">
        <v>49</v>
      </c>
      <c r="B1" s="5"/>
      <c r="C1" s="5"/>
      <c r="D1" s="5"/>
    </row>
    <row r="2" customFormat="false" ht="15.75" hidden="false" customHeight="true" outlineLevel="0" collapsed="false">
      <c r="A2" s="6" t="s">
        <v>50</v>
      </c>
      <c r="B2" s="6"/>
      <c r="C2" s="6"/>
      <c r="D2" s="6"/>
    </row>
    <row r="4" customFormat="false" ht="18" hidden="false" customHeight="true" outlineLevel="0" collapsed="false">
      <c r="A4" s="9" t="s">
        <v>51</v>
      </c>
      <c r="B4" s="9"/>
      <c r="C4" s="9"/>
      <c r="D4" s="9"/>
    </row>
    <row r="6" customFormat="false" ht="15" hidden="false" customHeight="false" outlineLevel="0" collapsed="false">
      <c r="A6" s="10" t="s">
        <v>52</v>
      </c>
      <c r="B6" s="18" t="s">
        <v>53</v>
      </c>
    </row>
    <row r="7" customFormat="false" ht="15" hidden="false" customHeight="false" outlineLevel="0" collapsed="false">
      <c r="A7" s="10" t="s">
        <v>54</v>
      </c>
      <c r="B7" s="18" t="s">
        <v>55</v>
      </c>
    </row>
    <row r="8" customFormat="false" ht="15" hidden="false" customHeight="false" outlineLevel="0" collapsed="false">
      <c r="A8" s="10" t="s">
        <v>56</v>
      </c>
      <c r="B8" s="18" t="s">
        <v>57</v>
      </c>
    </row>
    <row r="10" customFormat="false" ht="18" hidden="false" customHeight="true" outlineLevel="0" collapsed="false">
      <c r="A10" s="9" t="s">
        <v>58</v>
      </c>
      <c r="B10" s="9"/>
      <c r="C10" s="9"/>
      <c r="D10" s="9"/>
    </row>
    <row r="12" customFormat="false" ht="15" hidden="false" customHeight="false" outlineLevel="0" collapsed="false">
      <c r="A12" s="10" t="s">
        <v>22</v>
      </c>
      <c r="B12" s="19" t="n">
        <v>300000</v>
      </c>
      <c r="C12" s="20" t="s">
        <v>59</v>
      </c>
    </row>
    <row r="13" customFormat="false" ht="15" hidden="false" customHeight="false" outlineLevel="0" collapsed="false">
      <c r="A13" s="10" t="s">
        <v>60</v>
      </c>
      <c r="B13" s="19" t="n">
        <v>300000</v>
      </c>
      <c r="C13" s="20" t="s">
        <v>61</v>
      </c>
    </row>
    <row r="14" customFormat="false" ht="15" hidden="false" customHeight="false" outlineLevel="0" collapsed="false">
      <c r="A14" s="10" t="s">
        <v>23</v>
      </c>
      <c r="B14" s="19" t="n">
        <v>450000</v>
      </c>
      <c r="C14" s="20" t="s">
        <v>61</v>
      </c>
    </row>
    <row r="15" customFormat="false" ht="15" hidden="false" customHeight="false" outlineLevel="0" collapsed="false">
      <c r="A15" s="10" t="s">
        <v>62</v>
      </c>
      <c r="B15" s="19" t="n">
        <v>1000</v>
      </c>
      <c r="C15" s="20" t="s">
        <v>61</v>
      </c>
    </row>
    <row r="16" customFormat="false" ht="15" hidden="false" customHeight="false" outlineLevel="0" collapsed="false">
      <c r="A16" s="10" t="s">
        <v>63</v>
      </c>
      <c r="B16" s="19" t="n">
        <v>0</v>
      </c>
      <c r="C16" s="20" t="s">
        <v>61</v>
      </c>
    </row>
    <row r="18" customFormat="false" ht="18" hidden="false" customHeight="true" outlineLevel="0" collapsed="false">
      <c r="A18" s="9" t="s">
        <v>64</v>
      </c>
      <c r="B18" s="9"/>
      <c r="C18" s="9"/>
      <c r="D18" s="9"/>
    </row>
    <row r="20" customFormat="false" ht="15" hidden="false" customHeight="false" outlineLevel="0" collapsed="false">
      <c r="A20" s="10" t="s">
        <v>65</v>
      </c>
      <c r="B20" s="19" t="n">
        <v>250000</v>
      </c>
      <c r="C20" s="20" t="s">
        <v>66</v>
      </c>
    </row>
    <row r="21" customFormat="false" ht="15" hidden="false" customHeight="false" outlineLevel="0" collapsed="false">
      <c r="A21" s="10" t="s">
        <v>67</v>
      </c>
      <c r="B21" s="21" t="n">
        <v>0.12</v>
      </c>
      <c r="C21" s="20" t="s">
        <v>61</v>
      </c>
    </row>
    <row r="22" customFormat="false" ht="15" hidden="false" customHeight="false" outlineLevel="0" collapsed="false">
      <c r="A22" s="10" t="s">
        <v>68</v>
      </c>
      <c r="B22" s="19" t="n">
        <v>8000</v>
      </c>
      <c r="C22" s="20" t="s">
        <v>61</v>
      </c>
    </row>
    <row r="23" customFormat="false" ht="15" hidden="false" customHeight="false" outlineLevel="0" collapsed="false">
      <c r="A23" s="10" t="s">
        <v>69</v>
      </c>
      <c r="B23" s="11" t="n">
        <f aca="false">B20*B21/12</f>
        <v>2500</v>
      </c>
    </row>
    <row r="24" customFormat="false" ht="15" hidden="false" customHeight="false" outlineLevel="0" collapsed="false">
      <c r="A24" s="10" t="s">
        <v>70</v>
      </c>
      <c r="B24" s="19" t="n">
        <v>0</v>
      </c>
      <c r="C24" s="20" t="s">
        <v>71</v>
      </c>
    </row>
    <row r="26" customFormat="false" ht="18" hidden="false" customHeight="true" outlineLevel="0" collapsed="false">
      <c r="A26" s="9" t="s">
        <v>72</v>
      </c>
      <c r="B26" s="9"/>
      <c r="C26" s="9"/>
      <c r="D26" s="9"/>
    </row>
    <row r="28" customFormat="false" ht="15" hidden="false" customHeight="false" outlineLevel="0" collapsed="false">
      <c r="A28" s="10" t="s">
        <v>73</v>
      </c>
      <c r="B28" s="11" t="n">
        <f aca="false">'Rehab Budget'!C30</f>
        <v>45000</v>
      </c>
    </row>
    <row r="30" customFormat="false" ht="18" hidden="false" customHeight="true" outlineLevel="0" collapsed="false">
      <c r="A30" s="9" t="s">
        <v>74</v>
      </c>
      <c r="B30" s="9"/>
      <c r="C30" s="9"/>
      <c r="D30" s="9"/>
    </row>
    <row r="32" customFormat="false" ht="15" hidden="false" customHeight="false" outlineLevel="0" collapsed="false">
      <c r="A32" s="10" t="s">
        <v>75</v>
      </c>
      <c r="B32" s="22" t="n">
        <v>3</v>
      </c>
      <c r="C32" s="20" t="s">
        <v>76</v>
      </c>
    </row>
    <row r="33" customFormat="false" ht="15" hidden="false" customHeight="false" outlineLevel="0" collapsed="false">
      <c r="A33" s="10" t="s">
        <v>77</v>
      </c>
      <c r="B33" s="22" t="n">
        <v>2</v>
      </c>
      <c r="C33" s="20" t="s">
        <v>61</v>
      </c>
    </row>
    <row r="34" customFormat="false" ht="15" hidden="false" customHeight="false" outlineLevel="0" collapsed="false">
      <c r="A34" s="14" t="s">
        <v>78</v>
      </c>
      <c r="B34" s="23" t="n">
        <f aca="false">B32+B33</f>
        <v>5</v>
      </c>
    </row>
    <row r="36" customFormat="false" ht="18" hidden="false" customHeight="true" outlineLevel="0" collapsed="false">
      <c r="A36" s="9" t="s">
        <v>79</v>
      </c>
      <c r="B36" s="9"/>
      <c r="C36" s="9"/>
      <c r="D36" s="9"/>
    </row>
    <row r="38" customFormat="false" ht="15" hidden="false" customHeight="false" outlineLevel="0" collapsed="false">
      <c r="A38" s="10" t="s">
        <v>80</v>
      </c>
      <c r="B38" s="19" t="n">
        <v>200</v>
      </c>
      <c r="C38" s="20" t="s">
        <v>81</v>
      </c>
    </row>
    <row r="39" customFormat="false" ht="15" hidden="false" customHeight="false" outlineLevel="0" collapsed="false">
      <c r="A39" s="10" t="s">
        <v>82</v>
      </c>
      <c r="B39" s="19" t="n">
        <v>200</v>
      </c>
      <c r="C39" s="20" t="s">
        <v>83</v>
      </c>
    </row>
    <row r="40" customFormat="false" ht="15" hidden="false" customHeight="false" outlineLevel="0" collapsed="false">
      <c r="A40" s="10" t="s">
        <v>84</v>
      </c>
      <c r="B40" s="19" t="n">
        <v>150</v>
      </c>
      <c r="C40" s="20" t="s">
        <v>61</v>
      </c>
    </row>
    <row r="41" customFormat="false" ht="15" hidden="false" customHeight="false" outlineLevel="0" collapsed="false">
      <c r="A41" s="10" t="s">
        <v>85</v>
      </c>
      <c r="B41" s="19" t="n">
        <v>0</v>
      </c>
      <c r="C41" s="20" t="s">
        <v>86</v>
      </c>
    </row>
    <row r="43" customFormat="false" ht="18" hidden="false" customHeight="true" outlineLevel="0" collapsed="false">
      <c r="A43" s="9" t="s">
        <v>87</v>
      </c>
      <c r="B43" s="9"/>
      <c r="C43" s="9"/>
      <c r="D43" s="9"/>
    </row>
    <row r="45" customFormat="false" ht="15" hidden="false" customHeight="false" outlineLevel="0" collapsed="false">
      <c r="A45" s="10" t="s">
        <v>88</v>
      </c>
      <c r="B45" s="24" t="n">
        <f aca="false">B14</f>
        <v>450000</v>
      </c>
      <c r="C45" s="20" t="s">
        <v>89</v>
      </c>
    </row>
    <row r="46" customFormat="false" ht="15" hidden="false" customHeight="false" outlineLevel="0" collapsed="false">
      <c r="A46" s="10" t="s">
        <v>90</v>
      </c>
      <c r="B46" s="21" t="n">
        <v>0.06</v>
      </c>
      <c r="C46" s="20" t="s">
        <v>91</v>
      </c>
    </row>
    <row r="47" customFormat="false" ht="15" hidden="false" customHeight="false" outlineLevel="0" collapsed="false">
      <c r="A47" s="10" t="s">
        <v>92</v>
      </c>
      <c r="B47" s="21" t="n">
        <v>0.015</v>
      </c>
      <c r="C47" s="20" t="s">
        <v>61</v>
      </c>
    </row>
    <row r="49" customFormat="false" ht="18" hidden="false" customHeight="true" outlineLevel="0" collapsed="false">
      <c r="A49" s="9" t="s">
        <v>93</v>
      </c>
      <c r="B49" s="9"/>
      <c r="C49" s="9"/>
      <c r="D49" s="9"/>
    </row>
    <row r="51" customFormat="false" ht="15" hidden="false" customHeight="false" outlineLevel="0" collapsed="false">
      <c r="A51" s="10" t="s">
        <v>94</v>
      </c>
      <c r="B51" s="25" t="n">
        <v>0.51</v>
      </c>
      <c r="C51" s="7" t="s">
        <v>95</v>
      </c>
    </row>
    <row r="52" customFormat="false" ht="15" hidden="false" customHeight="false" outlineLevel="0" collapsed="false">
      <c r="A52" s="10" t="s">
        <v>96</v>
      </c>
      <c r="B52" s="25" t="n">
        <v>0.49</v>
      </c>
    </row>
    <row r="54" customFormat="false" ht="15" hidden="false" customHeight="false" outlineLevel="0" collapsed="false">
      <c r="A54" s="10" t="s">
        <v>97</v>
      </c>
      <c r="B54" s="19" t="n">
        <v>348000</v>
      </c>
      <c r="C54" s="20" t="s">
        <v>98</v>
      </c>
    </row>
    <row r="55" customFormat="false" ht="15" hidden="false" customHeight="false" outlineLevel="0" collapsed="false">
      <c r="A55" s="10" t="s">
        <v>99</v>
      </c>
      <c r="B55" s="24" t="n">
        <f aca="false">B20</f>
        <v>250000</v>
      </c>
      <c r="C55" s="20" t="s">
        <v>100</v>
      </c>
    </row>
    <row r="56" customFormat="false" ht="15" hidden="false" customHeight="false" outlineLevel="0" collapsed="false">
      <c r="A56" s="10" t="s">
        <v>101</v>
      </c>
      <c r="B56" s="26" t="n">
        <v>0</v>
      </c>
    </row>
    <row r="57" customFormat="false" ht="15" hidden="false" customHeight="false" outlineLevel="0" collapsed="false">
      <c r="A57" s="10" t="s">
        <v>102</v>
      </c>
      <c r="B57" s="21" t="n">
        <v>0.15</v>
      </c>
      <c r="C57" s="20" t="s">
        <v>103</v>
      </c>
    </row>
    <row r="58" customFormat="false" ht="15" hidden="false" customHeight="false" outlineLevel="0" collapsed="false">
      <c r="A58" s="10" t="s">
        <v>104</v>
      </c>
      <c r="B58" s="19" t="n">
        <v>0</v>
      </c>
      <c r="C58" s="20" t="s">
        <v>105</v>
      </c>
    </row>
    <row r="59" customFormat="false" ht="15" hidden="false" customHeight="false" outlineLevel="0" collapsed="false">
      <c r="A59" s="10" t="s">
        <v>106</v>
      </c>
      <c r="B59" s="19" t="n">
        <v>0</v>
      </c>
      <c r="C59" s="20" t="s">
        <v>107</v>
      </c>
    </row>
    <row r="60" customFormat="false" ht="15" hidden="false" customHeight="false" outlineLevel="0" collapsed="false">
      <c r="A60" s="10" t="s">
        <v>108</v>
      </c>
      <c r="B60" s="21" t="n">
        <v>0.04</v>
      </c>
      <c r="C60" s="20" t="s">
        <v>109</v>
      </c>
    </row>
    <row r="61" customFormat="false" ht="15" hidden="false" customHeight="false" outlineLevel="0" collapsed="false">
      <c r="A61" s="10" t="s">
        <v>110</v>
      </c>
      <c r="B61" s="21" t="n">
        <v>0.2</v>
      </c>
      <c r="C61" s="20" t="s">
        <v>111</v>
      </c>
    </row>
    <row r="62" customFormat="false" ht="15" hidden="false" customHeight="false" outlineLevel="0" collapsed="false">
      <c r="A62" s="10" t="s">
        <v>112</v>
      </c>
      <c r="B62" s="21" t="n">
        <v>0.8</v>
      </c>
      <c r="C62" s="20" t="s">
        <v>113</v>
      </c>
    </row>
    <row r="64" customFormat="false" ht="18" hidden="false" customHeight="true" outlineLevel="0" collapsed="false">
      <c r="A64" s="9" t="s">
        <v>114</v>
      </c>
      <c r="B64" s="9"/>
      <c r="C64" s="9"/>
      <c r="D64" s="9"/>
    </row>
    <row r="66" customFormat="false" ht="25.5" hidden="false" customHeight="true" outlineLevel="0" collapsed="false">
      <c r="A66" s="27" t="s">
        <v>115</v>
      </c>
      <c r="B66" s="27"/>
      <c r="C66" s="27"/>
      <c r="D66" s="27"/>
    </row>
    <row r="67" customFormat="false" ht="15" hidden="false" customHeight="false" outlineLevel="0" collapsed="false">
      <c r="A67" s="10" t="s">
        <v>116</v>
      </c>
      <c r="B67" s="24" t="n">
        <f aca="false">B54-B55</f>
        <v>98000</v>
      </c>
      <c r="C67" s="20" t="s">
        <v>117</v>
      </c>
    </row>
  </sheetData>
  <mergeCells count="12">
    <mergeCell ref="A1:D1"/>
    <mergeCell ref="A2:D2"/>
    <mergeCell ref="A4:D4"/>
    <mergeCell ref="A10:D10"/>
    <mergeCell ref="A18:D18"/>
    <mergeCell ref="A26:D26"/>
    <mergeCell ref="A30:D30"/>
    <mergeCell ref="A36:D36"/>
    <mergeCell ref="A43:D43"/>
    <mergeCell ref="A49:D49"/>
    <mergeCell ref="A64:D64"/>
    <mergeCell ref="A66:D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3" min="3" style="0" width="14"/>
    <col collapsed="false" customWidth="true" hidden="false" outlineLevel="0" max="4" min="4" style="0" width="55"/>
  </cols>
  <sheetData>
    <row r="1" customFormat="false" ht="25.5" hidden="false" customHeight="true" outlineLevel="0" collapsed="false">
      <c r="A1" s="5" t="s">
        <v>118</v>
      </c>
      <c r="B1" s="5"/>
      <c r="C1" s="5"/>
      <c r="D1" s="5"/>
    </row>
    <row r="2" customFormat="false" ht="15.75" hidden="false" customHeight="true" outlineLevel="0" collapsed="false">
      <c r="A2" s="6" t="s">
        <v>119</v>
      </c>
      <c r="B2" s="6"/>
      <c r="C2" s="6"/>
      <c r="D2" s="6"/>
    </row>
    <row r="4" customFormat="false" ht="18" hidden="false" customHeight="true" outlineLevel="0" collapsed="false">
      <c r="A4" s="28" t="s">
        <v>120</v>
      </c>
      <c r="B4" s="28" t="s">
        <v>121</v>
      </c>
      <c r="C4" s="29" t="s">
        <v>122</v>
      </c>
      <c r="D4" s="28" t="s">
        <v>123</v>
      </c>
    </row>
    <row r="5" customFormat="false" ht="15" hidden="false" customHeight="false" outlineLevel="0" collapsed="false">
      <c r="A5" s="30" t="s">
        <v>124</v>
      </c>
      <c r="B5" s="30" t="s">
        <v>125</v>
      </c>
      <c r="C5" s="19" t="n">
        <v>6000</v>
      </c>
      <c r="D5" s="31" t="s">
        <v>126</v>
      </c>
    </row>
    <row r="6" customFormat="false" ht="15" hidden="false" customHeight="false" outlineLevel="0" collapsed="false">
      <c r="A6" s="32" t="s">
        <v>124</v>
      </c>
      <c r="B6" s="32" t="s">
        <v>127</v>
      </c>
      <c r="C6" s="33" t="n">
        <v>5000</v>
      </c>
      <c r="D6" s="34" t="s">
        <v>128</v>
      </c>
    </row>
    <row r="7" customFormat="false" ht="15" hidden="false" customHeight="false" outlineLevel="0" collapsed="false">
      <c r="A7" s="30" t="s">
        <v>124</v>
      </c>
      <c r="B7" s="30" t="s">
        <v>129</v>
      </c>
      <c r="C7" s="19" t="n">
        <v>3000</v>
      </c>
      <c r="D7" s="31" t="s">
        <v>128</v>
      </c>
    </row>
    <row r="8" customFormat="false" ht="15" hidden="false" customHeight="false" outlineLevel="0" collapsed="false">
      <c r="A8" s="32" t="s">
        <v>124</v>
      </c>
      <c r="B8" s="32" t="s">
        <v>130</v>
      </c>
      <c r="C8" s="33" t="n">
        <v>1500</v>
      </c>
      <c r="D8" s="34" t="s">
        <v>128</v>
      </c>
    </row>
    <row r="9" customFormat="false" ht="15" hidden="false" customHeight="false" outlineLevel="0" collapsed="false">
      <c r="A9" s="30" t="s">
        <v>131</v>
      </c>
      <c r="B9" s="30" t="s">
        <v>132</v>
      </c>
      <c r="C9" s="19" t="n">
        <v>2000</v>
      </c>
      <c r="D9" s="31" t="s">
        <v>128</v>
      </c>
    </row>
    <row r="10" customFormat="false" ht="15" hidden="false" customHeight="false" outlineLevel="0" collapsed="false">
      <c r="A10" s="32" t="s">
        <v>131</v>
      </c>
      <c r="B10" s="32" t="s">
        <v>133</v>
      </c>
      <c r="C10" s="33" t="n">
        <v>3500</v>
      </c>
      <c r="D10" s="34" t="s">
        <v>128</v>
      </c>
    </row>
    <row r="11" customFormat="false" ht="15" hidden="false" customHeight="false" outlineLevel="0" collapsed="false">
      <c r="A11" s="30" t="s">
        <v>131</v>
      </c>
      <c r="B11" s="30" t="s">
        <v>134</v>
      </c>
      <c r="C11" s="19" t="n">
        <v>4000</v>
      </c>
      <c r="D11" s="31" t="s">
        <v>128</v>
      </c>
    </row>
    <row r="12" customFormat="false" ht="15" hidden="false" customHeight="false" outlineLevel="0" collapsed="false">
      <c r="A12" s="32" t="s">
        <v>135</v>
      </c>
      <c r="B12" s="32" t="s">
        <v>136</v>
      </c>
      <c r="C12" s="33" t="n">
        <v>6000</v>
      </c>
      <c r="D12" s="34" t="s">
        <v>128</v>
      </c>
    </row>
    <row r="13" customFormat="false" ht="15" hidden="false" customHeight="false" outlineLevel="0" collapsed="false">
      <c r="A13" s="30" t="s">
        <v>135</v>
      </c>
      <c r="B13" s="30" t="s">
        <v>137</v>
      </c>
      <c r="C13" s="19" t="n">
        <v>2500</v>
      </c>
      <c r="D13" s="31" t="s">
        <v>128</v>
      </c>
    </row>
    <row r="14" customFormat="false" ht="15" hidden="false" customHeight="false" outlineLevel="0" collapsed="false">
      <c r="A14" s="32" t="s">
        <v>138</v>
      </c>
      <c r="B14" s="32" t="s">
        <v>139</v>
      </c>
      <c r="C14" s="33" t="n">
        <v>2000</v>
      </c>
      <c r="D14" s="34" t="s">
        <v>128</v>
      </c>
    </row>
    <row r="15" customFormat="false" ht="15" hidden="false" customHeight="false" outlineLevel="0" collapsed="false">
      <c r="A15" s="30" t="s">
        <v>140</v>
      </c>
      <c r="B15" s="30" t="s">
        <v>141</v>
      </c>
      <c r="C15" s="19" t="n">
        <v>1500</v>
      </c>
      <c r="D15" s="31" t="s">
        <v>128</v>
      </c>
    </row>
    <row r="16" customFormat="false" ht="15" hidden="false" customHeight="false" outlineLevel="0" collapsed="false">
      <c r="A16" s="32" t="s">
        <v>140</v>
      </c>
      <c r="B16" s="32" t="s">
        <v>142</v>
      </c>
      <c r="C16" s="33" t="n">
        <v>2000</v>
      </c>
      <c r="D16" s="34" t="s">
        <v>128</v>
      </c>
    </row>
    <row r="17" customFormat="false" ht="15" hidden="false" customHeight="false" outlineLevel="0" collapsed="false">
      <c r="A17" s="30" t="s">
        <v>140</v>
      </c>
      <c r="B17" s="30" t="s">
        <v>143</v>
      </c>
      <c r="C17" s="19" t="n">
        <v>1000</v>
      </c>
      <c r="D17" s="31" t="s">
        <v>128</v>
      </c>
    </row>
    <row r="18" customFormat="false" ht="15" hidden="false" customHeight="false" outlineLevel="0" collapsed="false">
      <c r="A18" s="32" t="s">
        <v>144</v>
      </c>
      <c r="B18" s="32" t="s">
        <v>145</v>
      </c>
      <c r="C18" s="33" t="n">
        <v>500</v>
      </c>
      <c r="D18" s="34" t="s">
        <v>128</v>
      </c>
    </row>
    <row r="19" customFormat="false" ht="15" hidden="false" customHeight="false" outlineLevel="0" collapsed="false">
      <c r="A19" s="30" t="s">
        <v>144</v>
      </c>
      <c r="B19" s="30" t="s">
        <v>146</v>
      </c>
      <c r="C19" s="19" t="n">
        <v>4000</v>
      </c>
      <c r="D19" s="31" t="s">
        <v>126</v>
      </c>
    </row>
    <row r="20" customFormat="false" ht="15" hidden="false" customHeight="false" outlineLevel="0" collapsed="false">
      <c r="A20" s="32" t="s">
        <v>144</v>
      </c>
      <c r="B20" s="32" t="s">
        <v>147</v>
      </c>
      <c r="C20" s="33" t="n">
        <v>500</v>
      </c>
      <c r="D20" s="34" t="s">
        <v>128</v>
      </c>
    </row>
    <row r="22" customFormat="false" ht="15" hidden="false" customHeight="false" outlineLevel="0" collapsed="false">
      <c r="A22" s="14" t="s">
        <v>148</v>
      </c>
    </row>
    <row r="23" customFormat="false" ht="15" hidden="false" customHeight="false" outlineLevel="0" collapsed="false">
      <c r="A23" s="10" t="s">
        <v>124</v>
      </c>
      <c r="C23" s="11" t="n">
        <f aca="false">SUMIF($A$5:$A$20,A23,$C$5:$C$20)</f>
        <v>15500</v>
      </c>
    </row>
    <row r="24" customFormat="false" ht="15" hidden="false" customHeight="false" outlineLevel="0" collapsed="false">
      <c r="A24" s="10" t="s">
        <v>131</v>
      </c>
      <c r="C24" s="11" t="n">
        <f aca="false">SUMIF($A$5:$A$20,A24,$C$5:$C$20)</f>
        <v>9500</v>
      </c>
    </row>
    <row r="25" customFormat="false" ht="15" hidden="false" customHeight="false" outlineLevel="0" collapsed="false">
      <c r="A25" s="10" t="s">
        <v>135</v>
      </c>
      <c r="C25" s="11" t="n">
        <f aca="false">SUMIF($A$5:$A$20,A25,$C$5:$C$20)</f>
        <v>8500</v>
      </c>
    </row>
    <row r="26" customFormat="false" ht="15" hidden="false" customHeight="false" outlineLevel="0" collapsed="false">
      <c r="A26" s="10" t="s">
        <v>138</v>
      </c>
      <c r="C26" s="11" t="n">
        <f aca="false">SUMIF($A$5:$A$20,A26,$C$5:$C$20)</f>
        <v>2000</v>
      </c>
    </row>
    <row r="27" customFormat="false" ht="15" hidden="false" customHeight="false" outlineLevel="0" collapsed="false">
      <c r="A27" s="10" t="s">
        <v>140</v>
      </c>
      <c r="C27" s="11" t="n">
        <f aca="false">SUMIF($A$5:$A$20,A27,$C$5:$C$20)</f>
        <v>4500</v>
      </c>
    </row>
    <row r="28" customFormat="false" ht="15" hidden="false" customHeight="false" outlineLevel="0" collapsed="false">
      <c r="A28" s="10" t="s">
        <v>144</v>
      </c>
      <c r="C28" s="11" t="n">
        <f aca="false">SUMIF($A$5:$A$20,A28,$C$5:$C$20)</f>
        <v>5000</v>
      </c>
    </row>
    <row r="30" customFormat="false" ht="15" hidden="false" customHeight="false" outlineLevel="0" collapsed="false">
      <c r="A30" s="12" t="s">
        <v>149</v>
      </c>
      <c r="C30" s="13" t="n">
        <f aca="false">SUM(C5:C20)</f>
        <v>45000</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D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8"/>
    <col collapsed="false" customWidth="true" hidden="false" outlineLevel="0" max="3" min="3" style="0" width="4"/>
    <col collapsed="false" customWidth="true" hidden="false" outlineLevel="0" max="4" min="4" style="0" width="45"/>
  </cols>
  <sheetData>
    <row r="1" customFormat="false" ht="25.5" hidden="false" customHeight="true" outlineLevel="0" collapsed="false">
      <c r="A1" s="5" t="s">
        <v>150</v>
      </c>
      <c r="B1" s="5"/>
      <c r="C1" s="5"/>
      <c r="D1" s="5"/>
    </row>
    <row r="2" customFormat="false" ht="15.75" hidden="false" customHeight="true" outlineLevel="0" collapsed="false">
      <c r="A2" s="6" t="s">
        <v>151</v>
      </c>
      <c r="B2" s="6"/>
      <c r="C2" s="6"/>
      <c r="D2" s="6"/>
    </row>
    <row r="4" customFormat="false" ht="18" hidden="false" customHeight="true" outlineLevel="0" collapsed="false">
      <c r="A4" s="9" t="s">
        <v>152</v>
      </c>
      <c r="B4" s="9"/>
      <c r="C4" s="9"/>
      <c r="D4" s="9"/>
    </row>
    <row r="6" customFormat="false" ht="15" hidden="false" customHeight="false" outlineLevel="0" collapsed="false">
      <c r="A6" s="10" t="s">
        <v>22</v>
      </c>
      <c r="B6" s="11" t="n">
        <f aca="false">Assumptions!B12</f>
        <v>300000</v>
      </c>
    </row>
    <row r="7" customFormat="false" ht="15" hidden="false" customHeight="false" outlineLevel="0" collapsed="false">
      <c r="A7" s="10" t="s">
        <v>153</v>
      </c>
      <c r="B7" s="11" t="n">
        <f aca="false">Assumptions!B22</f>
        <v>8000</v>
      </c>
    </row>
    <row r="8" customFormat="false" ht="15" hidden="false" customHeight="false" outlineLevel="0" collapsed="false">
      <c r="A8" s="10" t="s">
        <v>154</v>
      </c>
      <c r="B8" s="11" t="n">
        <f aca="false">'Rehab Budget'!C30</f>
        <v>45000</v>
      </c>
    </row>
    <row r="10" customFormat="false" ht="15" hidden="false" customHeight="false" outlineLevel="0" collapsed="false">
      <c r="A10" s="35" t="s">
        <v>155</v>
      </c>
      <c r="B10" s="36" t="n">
        <f aca="false">B6+B7+B8</f>
        <v>353000</v>
      </c>
    </row>
    <row r="12" customFormat="false" ht="15" hidden="false" customHeight="false" outlineLevel="0" collapsed="false">
      <c r="A12" s="10" t="s">
        <v>156</v>
      </c>
      <c r="B12" s="11" t="n">
        <f aca="false">Assumptions!B24</f>
        <v>0</v>
      </c>
    </row>
    <row r="13" customFormat="false" ht="15" hidden="false" customHeight="false" outlineLevel="0" collapsed="false">
      <c r="A13" s="10" t="s">
        <v>157</v>
      </c>
      <c r="B13" s="11" t="n">
        <f aca="false">MAX(0,(Assumptions!B23*Assumptions!B34)-Assumptions!B24)</f>
        <v>12500</v>
      </c>
    </row>
    <row r="14" customFormat="false" ht="15" hidden="false" customHeight="false" outlineLevel="0" collapsed="false">
      <c r="A14" s="10" t="s">
        <v>158</v>
      </c>
      <c r="B14" s="11" t="n">
        <f aca="false">Assumptions!B38*Assumptions!B34</f>
        <v>1000</v>
      </c>
    </row>
    <row r="15" customFormat="false" ht="15" hidden="false" customHeight="false" outlineLevel="0" collapsed="false">
      <c r="A15" s="10" t="s">
        <v>159</v>
      </c>
      <c r="B15" s="11" t="n">
        <f aca="false">Assumptions!B39*Assumptions!B34</f>
        <v>1000</v>
      </c>
    </row>
    <row r="16" customFormat="false" ht="15" hidden="false" customHeight="false" outlineLevel="0" collapsed="false">
      <c r="A16" s="10" t="s">
        <v>160</v>
      </c>
      <c r="B16" s="11" t="n">
        <f aca="false">Assumptions!B40*Assumptions!B34</f>
        <v>750</v>
      </c>
    </row>
    <row r="17" customFormat="false" ht="15" hidden="false" customHeight="false" outlineLevel="0" collapsed="false">
      <c r="A17" s="10" t="s">
        <v>161</v>
      </c>
      <c r="B17" s="11" t="n">
        <f aca="false">Assumptions!B41*Assumptions!B34</f>
        <v>0</v>
      </c>
    </row>
    <row r="19" customFormat="false" ht="15" hidden="false" customHeight="false" outlineLevel="0" collapsed="false">
      <c r="A19" s="35" t="s">
        <v>162</v>
      </c>
      <c r="B19" s="36" t="n">
        <f aca="false">B12+B13+B14+B15+B16+B17</f>
        <v>15250</v>
      </c>
    </row>
    <row r="21" customFormat="false" ht="15" hidden="false" customHeight="false" outlineLevel="0" collapsed="false">
      <c r="A21" s="12" t="s">
        <v>163</v>
      </c>
      <c r="B21" s="13" t="n">
        <f aca="false">B10+B19</f>
        <v>368250</v>
      </c>
    </row>
    <row r="23" customFormat="false" ht="18" hidden="false" customHeight="true" outlineLevel="0" collapsed="false">
      <c r="A23" s="9" t="s">
        <v>164</v>
      </c>
      <c r="B23" s="9"/>
      <c r="C23" s="9"/>
      <c r="D23" s="9"/>
    </row>
    <row r="25" customFormat="false" ht="15" hidden="false" customHeight="false" outlineLevel="0" collapsed="false">
      <c r="A25" s="10" t="s">
        <v>165</v>
      </c>
      <c r="B25" s="11" t="n">
        <f aca="false">Assumptions!B20</f>
        <v>250000</v>
      </c>
    </row>
    <row r="26" customFormat="false" ht="15" hidden="false" customHeight="false" outlineLevel="0" collapsed="false">
      <c r="A26" s="10" t="s">
        <v>63</v>
      </c>
      <c r="B26" s="11" t="n">
        <f aca="false">Assumptions!B16</f>
        <v>0</v>
      </c>
    </row>
    <row r="27" customFormat="false" ht="15" hidden="false" customHeight="false" outlineLevel="0" collapsed="false">
      <c r="A27" s="10" t="s">
        <v>166</v>
      </c>
      <c r="B27" s="11" t="n">
        <f aca="false">Assumptions!B15</f>
        <v>1000</v>
      </c>
    </row>
    <row r="29" customFormat="false" ht="15" hidden="false" customHeight="false" outlineLevel="0" collapsed="false">
      <c r="A29" s="35" t="s">
        <v>167</v>
      </c>
      <c r="B29" s="36" t="n">
        <f aca="false">B25+B26+B27</f>
        <v>251000</v>
      </c>
    </row>
    <row r="31" customFormat="false" ht="15" hidden="false" customHeight="false" outlineLevel="0" collapsed="false">
      <c r="A31" s="14" t="s">
        <v>168</v>
      </c>
      <c r="B31" s="11" t="n">
        <f aca="false">'Sources &amp; Uses'!B21-B29</f>
        <v>117250</v>
      </c>
    </row>
    <row r="33" customFormat="false" ht="15" hidden="false" customHeight="false" outlineLevel="0" collapsed="false">
      <c r="A33" s="12" t="s">
        <v>169</v>
      </c>
      <c r="B33" s="13" t="n">
        <f aca="false">B29+B31</f>
        <v>368250</v>
      </c>
    </row>
  </sheetData>
  <mergeCells count="4">
    <mergeCell ref="A1:D1"/>
    <mergeCell ref="A2:D2"/>
    <mergeCell ref="A4:D4"/>
    <mergeCell ref="A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9" min="2" style="0" width="14"/>
  </cols>
  <sheetData>
    <row r="1" customFormat="false" ht="25.5" hidden="false" customHeight="true" outlineLevel="0" collapsed="false">
      <c r="A1" s="5" t="s">
        <v>170</v>
      </c>
      <c r="B1" s="5"/>
      <c r="C1" s="5"/>
      <c r="D1" s="5"/>
      <c r="E1" s="5"/>
      <c r="F1" s="5"/>
      <c r="G1" s="5"/>
      <c r="H1" s="5"/>
      <c r="I1" s="5"/>
    </row>
    <row r="2" customFormat="false" ht="15.75" hidden="false" customHeight="true" outlineLevel="0" collapsed="false">
      <c r="A2" s="6" t="s">
        <v>171</v>
      </c>
      <c r="B2" s="6"/>
      <c r="C2" s="6"/>
      <c r="D2" s="6"/>
      <c r="E2" s="6"/>
      <c r="F2" s="6"/>
      <c r="G2" s="6"/>
      <c r="H2" s="6"/>
      <c r="I2" s="6"/>
    </row>
    <row r="4" customFormat="false" ht="27.75" hidden="false" customHeight="true" outlineLevel="0" collapsed="false">
      <c r="A4" s="37" t="s">
        <v>121</v>
      </c>
      <c r="B4" s="38" t="s">
        <v>172</v>
      </c>
      <c r="C4" s="38" t="s">
        <v>173</v>
      </c>
      <c r="D4" s="38" t="s">
        <v>174</v>
      </c>
      <c r="E4" s="38" t="s">
        <v>175</v>
      </c>
      <c r="F4" s="38" t="s">
        <v>176</v>
      </c>
      <c r="G4" s="38" t="s">
        <v>177</v>
      </c>
      <c r="H4" s="38" t="s">
        <v>178</v>
      </c>
      <c r="I4" s="39" t="s">
        <v>179</v>
      </c>
    </row>
    <row r="5" customFormat="false" ht="15" hidden="false" customHeight="false" outlineLevel="0" collapsed="false">
      <c r="A5" s="10" t="s">
        <v>22</v>
      </c>
      <c r="B5" s="40" t="n">
        <f aca="false">Assumptions!B12</f>
        <v>300000</v>
      </c>
      <c r="C5" s="40" t="n">
        <v>0</v>
      </c>
      <c r="D5" s="40" t="n">
        <v>0</v>
      </c>
      <c r="E5" s="40" t="n">
        <v>0</v>
      </c>
      <c r="F5" s="40" t="n">
        <v>0</v>
      </c>
      <c r="G5" s="40" t="n">
        <v>0</v>
      </c>
      <c r="H5" s="40" t="n">
        <v>0</v>
      </c>
      <c r="I5" s="41" t="n">
        <f aca="false">SUM(B5:H5)</f>
        <v>300000</v>
      </c>
    </row>
    <row r="6" customFormat="false" ht="15" hidden="false" customHeight="false" outlineLevel="0" collapsed="false">
      <c r="A6" s="10" t="s">
        <v>153</v>
      </c>
      <c r="B6" s="40" t="n">
        <f aca="false">Assumptions!B22</f>
        <v>8000</v>
      </c>
      <c r="C6" s="40" t="n">
        <v>0</v>
      </c>
      <c r="D6" s="40" t="n">
        <v>0</v>
      </c>
      <c r="E6" s="40" t="n">
        <v>0</v>
      </c>
      <c r="F6" s="40" t="n">
        <v>0</v>
      </c>
      <c r="G6" s="40" t="n">
        <v>0</v>
      </c>
      <c r="H6" s="40" t="n">
        <v>0</v>
      </c>
      <c r="I6" s="41" t="n">
        <f aca="false">SUM(B6:H6)</f>
        <v>8000</v>
      </c>
    </row>
    <row r="7" customFormat="false" ht="15" hidden="false" customHeight="false" outlineLevel="0" collapsed="false">
      <c r="A7" s="10" t="s">
        <v>180</v>
      </c>
      <c r="B7" s="40" t="n">
        <f aca="false">0</f>
        <v>0</v>
      </c>
      <c r="C7" s="40" t="n">
        <f aca="false">'Rehab Budget'!C30/Assumptions!B32</f>
        <v>15000</v>
      </c>
      <c r="D7" s="40" t="n">
        <f aca="false">'Rehab Budget'!C30/Assumptions!B32</f>
        <v>15000</v>
      </c>
      <c r="E7" s="40" t="n">
        <f aca="false">'Rehab Budget'!C30/Assumptions!B32</f>
        <v>15000</v>
      </c>
      <c r="F7" s="40" t="n">
        <v>0</v>
      </c>
      <c r="G7" s="40" t="n">
        <v>0</v>
      </c>
      <c r="H7" s="40" t="n">
        <v>0</v>
      </c>
      <c r="I7" s="41" t="n">
        <f aca="false">SUM(B7:H7)</f>
        <v>45000</v>
      </c>
    </row>
    <row r="8" customFormat="false" ht="15" hidden="false" customHeight="false" outlineLevel="0" collapsed="false">
      <c r="A8" s="10" t="s">
        <v>181</v>
      </c>
      <c r="B8" s="40" t="n">
        <f aca="false">0</f>
        <v>0</v>
      </c>
      <c r="C8" s="40" t="n">
        <v>0</v>
      </c>
      <c r="D8" s="40" t="n">
        <f aca="false">-'Rehab Budget'!C30/Assumptions!B32</f>
        <v>-15000</v>
      </c>
      <c r="E8" s="40" t="n">
        <f aca="false">-'Rehab Budget'!C30/Assumptions!B32</f>
        <v>-15000</v>
      </c>
      <c r="F8" s="40" t="n">
        <f aca="false">-'Rehab Budget'!C30/Assumptions!B32</f>
        <v>-15000</v>
      </c>
      <c r="G8" s="40" t="n">
        <v>0</v>
      </c>
      <c r="H8" s="40" t="n">
        <v>0</v>
      </c>
      <c r="I8" s="41" t="n">
        <f aca="false">SUM(B8:H8)</f>
        <v>-45000</v>
      </c>
    </row>
    <row r="9" customFormat="false" ht="15" hidden="false" customHeight="false" outlineLevel="0" collapsed="false">
      <c r="A9" s="10" t="s">
        <v>182</v>
      </c>
      <c r="B9" s="40" t="n">
        <f aca="false">0</f>
        <v>0</v>
      </c>
      <c r="C9" s="40" t="n">
        <f aca="false">Assumptions!B23</f>
        <v>2500</v>
      </c>
      <c r="D9" s="40" t="n">
        <f aca="false">Assumptions!B23</f>
        <v>2500</v>
      </c>
      <c r="E9" s="40" t="n">
        <f aca="false">Assumptions!B23</f>
        <v>2500</v>
      </c>
      <c r="F9" s="40" t="n">
        <f aca="false">Assumptions!B23</f>
        <v>2500</v>
      </c>
      <c r="G9" s="40" t="n">
        <f aca="false">Assumptions!B23</f>
        <v>2500</v>
      </c>
      <c r="H9" s="40" t="n">
        <f aca="false">Assumptions!B23</f>
        <v>2500</v>
      </c>
      <c r="I9" s="41" t="n">
        <f aca="false">SUM(B9:H9)</f>
        <v>15000</v>
      </c>
    </row>
    <row r="10" customFormat="false" ht="15" hidden="false" customHeight="false" outlineLevel="0" collapsed="false">
      <c r="A10" s="10" t="s">
        <v>183</v>
      </c>
      <c r="B10" s="40" t="n">
        <f aca="false">0</f>
        <v>0</v>
      </c>
      <c r="C10" s="40" t="n">
        <f aca="false">Assumptions!B38</f>
        <v>200</v>
      </c>
      <c r="D10" s="40" t="n">
        <f aca="false">Assumptions!B38</f>
        <v>200</v>
      </c>
      <c r="E10" s="40" t="n">
        <f aca="false">Assumptions!B38</f>
        <v>200</v>
      </c>
      <c r="F10" s="40" t="n">
        <f aca="false">Assumptions!B38</f>
        <v>200</v>
      </c>
      <c r="G10" s="40" t="n">
        <f aca="false">Assumptions!B38</f>
        <v>200</v>
      </c>
      <c r="H10" s="40" t="n">
        <f aca="false">Assumptions!B38</f>
        <v>200</v>
      </c>
      <c r="I10" s="41" t="n">
        <f aca="false">SUM(B10:H10)</f>
        <v>1200</v>
      </c>
    </row>
    <row r="11" customFormat="false" ht="15" hidden="false" customHeight="false" outlineLevel="0" collapsed="false">
      <c r="A11" s="10" t="s">
        <v>184</v>
      </c>
      <c r="B11" s="40" t="n">
        <f aca="false">0</f>
        <v>0</v>
      </c>
      <c r="C11" s="40" t="n">
        <f aca="false">Assumptions!B39</f>
        <v>200</v>
      </c>
      <c r="D11" s="40" t="n">
        <f aca="false">Assumptions!B39</f>
        <v>200</v>
      </c>
      <c r="E11" s="40" t="n">
        <f aca="false">Assumptions!B39</f>
        <v>200</v>
      </c>
      <c r="F11" s="40" t="n">
        <f aca="false">Assumptions!B39</f>
        <v>200</v>
      </c>
      <c r="G11" s="40" t="n">
        <f aca="false">Assumptions!B39</f>
        <v>200</v>
      </c>
      <c r="H11" s="40" t="n">
        <f aca="false">Assumptions!B39</f>
        <v>200</v>
      </c>
      <c r="I11" s="41" t="n">
        <f aca="false">SUM(B11:H11)</f>
        <v>1200</v>
      </c>
    </row>
    <row r="12" customFormat="false" ht="15" hidden="false" customHeight="false" outlineLevel="0" collapsed="false">
      <c r="A12" s="10" t="s">
        <v>185</v>
      </c>
      <c r="B12" s="40" t="n">
        <f aca="false">0</f>
        <v>0</v>
      </c>
      <c r="C12" s="40" t="n">
        <f aca="false">Assumptions!B40</f>
        <v>150</v>
      </c>
      <c r="D12" s="40" t="n">
        <f aca="false">Assumptions!B40</f>
        <v>150</v>
      </c>
      <c r="E12" s="40" t="n">
        <f aca="false">Assumptions!B40</f>
        <v>150</v>
      </c>
      <c r="F12" s="40" t="n">
        <f aca="false">Assumptions!B40</f>
        <v>150</v>
      </c>
      <c r="G12" s="40" t="n">
        <f aca="false">Assumptions!B40</f>
        <v>150</v>
      </c>
      <c r="H12" s="40" t="n">
        <f aca="false">Assumptions!B40</f>
        <v>150</v>
      </c>
      <c r="I12" s="41" t="n">
        <f aca="false">SUM(B12:H12)</f>
        <v>900</v>
      </c>
    </row>
    <row r="13" customFormat="false" ht="15" hidden="false" customHeight="false" outlineLevel="0" collapsed="false">
      <c r="A13" s="10" t="s">
        <v>186</v>
      </c>
      <c r="B13" s="40" t="n">
        <f aca="false">0</f>
        <v>0</v>
      </c>
      <c r="C13" s="40" t="n">
        <f aca="false">Assumptions!B41</f>
        <v>0</v>
      </c>
      <c r="D13" s="40" t="n">
        <f aca="false">Assumptions!B41</f>
        <v>0</v>
      </c>
      <c r="E13" s="40" t="n">
        <f aca="false">Assumptions!B41</f>
        <v>0</v>
      </c>
      <c r="F13" s="40" t="n">
        <f aca="false">Assumptions!B41</f>
        <v>0</v>
      </c>
      <c r="G13" s="40" t="n">
        <f aca="false">Assumptions!B41</f>
        <v>0</v>
      </c>
      <c r="H13" s="40" t="n">
        <f aca="false">Assumptions!B41</f>
        <v>0</v>
      </c>
      <c r="I13" s="41" t="n">
        <f aca="false">SUM(B13:H13)</f>
        <v>0</v>
      </c>
    </row>
    <row r="14" customFormat="false" ht="15" hidden="false" customHeight="false" outlineLevel="0" collapsed="false">
      <c r="A14" s="10" t="s">
        <v>187</v>
      </c>
      <c r="B14" s="40" t="n">
        <f aca="false">-(Assumptions!B16+Assumptions!B15)</f>
        <v>-1000</v>
      </c>
      <c r="C14" s="40" t="n">
        <v>0</v>
      </c>
      <c r="D14" s="40" t="n">
        <v>0</v>
      </c>
      <c r="E14" s="40" t="n">
        <v>0</v>
      </c>
      <c r="F14" s="40" t="n">
        <v>0</v>
      </c>
      <c r="G14" s="40" t="n">
        <v>0</v>
      </c>
      <c r="H14" s="40" t="n">
        <v>0</v>
      </c>
      <c r="I14" s="41" t="n">
        <f aca="false">SUM(B14:H14)</f>
        <v>-1000</v>
      </c>
    </row>
    <row r="16" customFormat="false" ht="15" hidden="false" customHeight="false" outlineLevel="0" collapsed="false">
      <c r="A16" s="42" t="s">
        <v>188</v>
      </c>
      <c r="B16" s="43" t="n">
        <f aca="false">SUM(B5:B14)</f>
        <v>307000</v>
      </c>
      <c r="C16" s="43" t="n">
        <f aca="false">SUM(C5:C14)</f>
        <v>18050</v>
      </c>
      <c r="D16" s="43" t="n">
        <f aca="false">SUM(D5:D14)</f>
        <v>3050</v>
      </c>
      <c r="E16" s="43" t="n">
        <f aca="false">SUM(E5:E14)</f>
        <v>3050</v>
      </c>
      <c r="F16" s="43" t="n">
        <f aca="false">SUM(F5:F14)</f>
        <v>-11950</v>
      </c>
      <c r="G16" s="43" t="n">
        <f aca="false">SUM(G5:G14)</f>
        <v>3050</v>
      </c>
      <c r="H16" s="43" t="n">
        <f aca="false">SUM(H5:H14)</f>
        <v>3050</v>
      </c>
      <c r="I16" s="43" t="n">
        <f aca="false">SUM(I5:I14)</f>
        <v>325300</v>
      </c>
    </row>
    <row r="17" customFormat="false" ht="15" hidden="false" customHeight="false" outlineLevel="0" collapsed="false">
      <c r="A17" s="44" t="s">
        <v>189</v>
      </c>
      <c r="B17" s="45" t="n">
        <f aca="false">B16</f>
        <v>307000</v>
      </c>
      <c r="C17" s="45" t="n">
        <f aca="false">B17+C16</f>
        <v>325050</v>
      </c>
      <c r="D17" s="45" t="n">
        <f aca="false">C17+D16</f>
        <v>328100</v>
      </c>
      <c r="E17" s="45" t="n">
        <f aca="false">D17+E16</f>
        <v>331150</v>
      </c>
      <c r="F17" s="45" t="n">
        <f aca="false">E17+F16</f>
        <v>319200</v>
      </c>
      <c r="G17" s="45" t="n">
        <f aca="false">F17+G16</f>
        <v>322250</v>
      </c>
      <c r="H17" s="45" t="n">
        <f aca="false">G17+H16</f>
        <v>325300</v>
      </c>
    </row>
    <row r="20" customFormat="false" ht="15" hidden="false" customHeight="true" outlineLevel="0" collapsed="false">
      <c r="A20" s="46" t="s">
        <v>190</v>
      </c>
      <c r="B20" s="46"/>
      <c r="C20" s="46"/>
      <c r="D20" s="46"/>
      <c r="E20" s="46"/>
      <c r="F20" s="46"/>
      <c r="G20" s="46"/>
      <c r="H20" s="46"/>
      <c r="I20" s="46"/>
    </row>
  </sheetData>
  <mergeCells count="3">
    <mergeCell ref="A1:I1"/>
    <mergeCell ref="A2:I2"/>
    <mergeCell ref="A20:I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D1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2" min="2" style="0" width="18"/>
    <col collapsed="false" customWidth="true" hidden="false" outlineLevel="0" max="3" min="3" style="0" width="4"/>
    <col collapsed="false" customWidth="true" hidden="false" outlineLevel="0" max="4" min="4" style="0" width="45"/>
  </cols>
  <sheetData>
    <row r="1" customFormat="false" ht="25.5" hidden="false" customHeight="true" outlineLevel="0" collapsed="false">
      <c r="A1" s="5" t="s">
        <v>191</v>
      </c>
      <c r="B1" s="5"/>
      <c r="C1" s="5"/>
      <c r="D1" s="5"/>
    </row>
    <row r="2" customFormat="false" ht="15.75" hidden="false" customHeight="true" outlineLevel="0" collapsed="false">
      <c r="A2" s="6" t="s">
        <v>192</v>
      </c>
      <c r="B2" s="6"/>
      <c r="C2" s="6"/>
      <c r="D2" s="6"/>
    </row>
    <row r="4" customFormat="false" ht="18" hidden="false" customHeight="true" outlineLevel="0" collapsed="false">
      <c r="A4" s="9" t="s">
        <v>193</v>
      </c>
      <c r="B4" s="9"/>
      <c r="C4" s="9"/>
      <c r="D4" s="9"/>
    </row>
    <row r="6" customFormat="false" ht="15" hidden="false" customHeight="false" outlineLevel="0" collapsed="false">
      <c r="A6" s="10" t="s">
        <v>88</v>
      </c>
      <c r="B6" s="11" t="n">
        <f aca="false">Assumptions!B45</f>
        <v>450000</v>
      </c>
    </row>
    <row r="7" customFormat="false" ht="15" hidden="false" customHeight="false" outlineLevel="0" collapsed="false">
      <c r="A7" s="10" t="s">
        <v>194</v>
      </c>
      <c r="B7" s="11" t="n">
        <f aca="false">-Assumptions!B45*Assumptions!B46</f>
        <v>-27000</v>
      </c>
    </row>
    <row r="8" customFormat="false" ht="15" hidden="false" customHeight="false" outlineLevel="0" collapsed="false">
      <c r="A8" s="10" t="s">
        <v>195</v>
      </c>
      <c r="B8" s="11" t="n">
        <f aca="false">-Assumptions!B45*Assumptions!B47</f>
        <v>-6750</v>
      </c>
    </row>
    <row r="10" customFormat="false" ht="15" hidden="false" customHeight="false" outlineLevel="0" collapsed="false">
      <c r="A10" s="35" t="s">
        <v>196</v>
      </c>
      <c r="B10" s="36" t="n">
        <f aca="false">B6+B7+B8</f>
        <v>416250</v>
      </c>
    </row>
    <row r="12" customFormat="false" ht="18" hidden="false" customHeight="true" outlineLevel="0" collapsed="false">
      <c r="A12" s="9" t="s">
        <v>197</v>
      </c>
      <c r="B12" s="9"/>
      <c r="C12" s="9"/>
      <c r="D12" s="9"/>
    </row>
    <row r="14" customFormat="false" ht="15" hidden="false" customHeight="false" outlineLevel="0" collapsed="false">
      <c r="A14" s="10" t="s">
        <v>198</v>
      </c>
      <c r="B14" s="11" t="n">
        <f aca="false">Assumptions!B55</f>
        <v>250000</v>
      </c>
    </row>
    <row r="15" customFormat="false" ht="15" hidden="false" customHeight="false" outlineLevel="0" collapsed="false">
      <c r="A15" s="14" t="s">
        <v>199</v>
      </c>
      <c r="B15" s="11" t="n">
        <f aca="false">MIN(B10,MAX(0,B14))</f>
        <v>250000</v>
      </c>
    </row>
    <row r="16" customFormat="false" ht="15" hidden="false" customHeight="false" outlineLevel="0" collapsed="false">
      <c r="A16" s="10" t="s">
        <v>200</v>
      </c>
      <c r="B16" s="11" t="n">
        <f aca="false">B14-B15</f>
        <v>0</v>
      </c>
    </row>
    <row r="18" customFormat="false" ht="15" hidden="false" customHeight="false" outlineLevel="0" collapsed="false">
      <c r="A18" s="47" t="s">
        <v>201</v>
      </c>
      <c r="B18" s="48" t="n">
        <f aca="false">B10-B15</f>
        <v>166250</v>
      </c>
    </row>
    <row r="20" customFormat="false" ht="15" hidden="false" customHeight="false" outlineLevel="0" collapsed="false">
      <c r="A20" s="10" t="s">
        <v>202</v>
      </c>
      <c r="B20" s="11" t="n">
        <f aca="false">Assumptions!B56</f>
        <v>0</v>
      </c>
    </row>
    <row r="21" customFormat="false" ht="15" hidden="false" customHeight="false" outlineLevel="0" collapsed="false">
      <c r="A21" s="14" t="s">
        <v>203</v>
      </c>
      <c r="B21" s="11" t="n">
        <f aca="false">MIN(B18,MAX(0,B20))</f>
        <v>0</v>
      </c>
    </row>
    <row r="22" customFormat="false" ht="15" hidden="false" customHeight="false" outlineLevel="0" collapsed="false">
      <c r="A22" s="10" t="s">
        <v>204</v>
      </c>
      <c r="B22" s="11" t="n">
        <f aca="false">B20-B21</f>
        <v>0</v>
      </c>
    </row>
    <row r="24" customFormat="false" ht="15" hidden="false" customHeight="false" outlineLevel="0" collapsed="false">
      <c r="A24" s="47" t="s">
        <v>205</v>
      </c>
      <c r="B24" s="48" t="n">
        <f aca="false">B18-B21</f>
        <v>166250</v>
      </c>
    </row>
    <row r="26" customFormat="false" ht="18" hidden="false" customHeight="true" outlineLevel="0" collapsed="false">
      <c r="A26" s="9" t="s">
        <v>206</v>
      </c>
      <c r="B26" s="9"/>
      <c r="C26" s="9"/>
      <c r="D26" s="9"/>
    </row>
    <row r="28" customFormat="false" ht="15" hidden="false" customHeight="false" outlineLevel="0" collapsed="false">
      <c r="A28" s="10" t="s">
        <v>207</v>
      </c>
      <c r="B28" s="11" t="n">
        <f aca="false">Assumptions!B54</f>
        <v>348000</v>
      </c>
    </row>
    <row r="29" customFormat="false" ht="15" hidden="false" customHeight="false" outlineLevel="0" collapsed="false">
      <c r="A29" s="10" t="s">
        <v>208</v>
      </c>
      <c r="B29" s="11" t="n">
        <f aca="false">-B15</f>
        <v>-250000</v>
      </c>
    </row>
    <row r="30" customFormat="false" ht="15" hidden="false" customHeight="false" outlineLevel="0" collapsed="false">
      <c r="A30" s="10" t="s">
        <v>209</v>
      </c>
      <c r="B30" s="11" t="n">
        <f aca="false">B28-B15</f>
        <v>98000</v>
      </c>
    </row>
    <row r="31" customFormat="false" ht="15" hidden="false" customHeight="false" outlineLevel="0" collapsed="false">
      <c r="A31" s="10" t="s">
        <v>210</v>
      </c>
      <c r="B31" s="11" t="n">
        <f aca="false">Assumptions!B67</f>
        <v>98000</v>
      </c>
    </row>
    <row r="32" customFormat="false" ht="15" hidden="false" customHeight="false" outlineLevel="0" collapsed="false">
      <c r="A32" s="10" t="s">
        <v>211</v>
      </c>
      <c r="B32" s="11" t="n">
        <f aca="false">MAX(0,B30-B31)</f>
        <v>0</v>
      </c>
    </row>
    <row r="33" customFormat="false" ht="15" hidden="false" customHeight="false" outlineLevel="0" collapsed="false">
      <c r="A33" s="10" t="s">
        <v>212</v>
      </c>
      <c r="B33" s="11" t="n">
        <f aca="false">B31</f>
        <v>98000</v>
      </c>
    </row>
    <row r="34" customFormat="false" ht="15" hidden="false" customHeight="false" outlineLevel="0" collapsed="false">
      <c r="A34" s="10" t="s">
        <v>213</v>
      </c>
      <c r="B34" s="11" t="n">
        <f aca="false">B28*Assumptions!B57</f>
        <v>52200</v>
      </c>
    </row>
    <row r="36" customFormat="false" ht="15" hidden="false" customHeight="false" outlineLevel="0" collapsed="false">
      <c r="A36" s="10" t="s">
        <v>214</v>
      </c>
      <c r="B36" s="11" t="n">
        <f aca="false">B33+B34</f>
        <v>150200</v>
      </c>
    </row>
    <row r="37" customFormat="false" ht="15" hidden="false" customHeight="false" outlineLevel="0" collapsed="false">
      <c r="A37" s="14" t="s">
        <v>215</v>
      </c>
      <c r="B37" s="11" t="n">
        <f aca="false">MIN(B24,MAX(0,B36))</f>
        <v>150200</v>
      </c>
    </row>
    <row r="38" customFormat="false" ht="15" hidden="false" customHeight="false" outlineLevel="0" collapsed="false">
      <c r="A38" s="10" t="s">
        <v>216</v>
      </c>
      <c r="B38" s="11" t="n">
        <f aca="false">B36-B37</f>
        <v>0</v>
      </c>
    </row>
    <row r="40" customFormat="false" ht="15" hidden="false" customHeight="false" outlineLevel="0" collapsed="false">
      <c r="A40" s="47" t="s">
        <v>217</v>
      </c>
      <c r="B40" s="48" t="n">
        <f aca="false">B24-B37</f>
        <v>16050</v>
      </c>
    </row>
    <row r="42" customFormat="false" ht="18" hidden="false" customHeight="true" outlineLevel="0" collapsed="false">
      <c r="A42" s="9" t="s">
        <v>218</v>
      </c>
      <c r="B42" s="9"/>
      <c r="C42" s="9"/>
      <c r="D42" s="9"/>
    </row>
    <row r="44" customFormat="false" ht="15" hidden="false" customHeight="false" outlineLevel="0" collapsed="false">
      <c r="A44" s="10" t="s">
        <v>219</v>
      </c>
      <c r="B44" s="11" t="n">
        <f aca="false">B32</f>
        <v>0</v>
      </c>
    </row>
    <row r="46" customFormat="false" ht="15" hidden="false" customHeight="false" outlineLevel="0" collapsed="false">
      <c r="A46" s="10" t="s">
        <v>220</v>
      </c>
      <c r="B46" s="11" t="n">
        <f aca="false">B44</f>
        <v>0</v>
      </c>
    </row>
    <row r="47" customFormat="false" ht="15" hidden="false" customHeight="false" outlineLevel="0" collapsed="false">
      <c r="A47" s="14" t="s">
        <v>221</v>
      </c>
      <c r="B47" s="11" t="n">
        <f aca="false">MIN(B40,MAX(0,B46))</f>
        <v>0</v>
      </c>
    </row>
    <row r="48" customFormat="false" ht="15" hidden="false" customHeight="false" outlineLevel="0" collapsed="false">
      <c r="A48" s="10" t="s">
        <v>222</v>
      </c>
      <c r="B48" s="11" t="n">
        <f aca="false">B46-B47</f>
        <v>0</v>
      </c>
    </row>
    <row r="50" customFormat="false" ht="15" hidden="false" customHeight="false" outlineLevel="0" collapsed="false">
      <c r="A50" s="47" t="s">
        <v>223</v>
      </c>
      <c r="B50" s="48" t="n">
        <f aca="false">B40-B47</f>
        <v>16050</v>
      </c>
    </row>
    <row r="52" customFormat="false" ht="15" hidden="false" customHeight="false" outlineLevel="0" collapsed="false">
      <c r="A52" s="10" t="s">
        <v>224</v>
      </c>
      <c r="B52" s="11" t="n">
        <f aca="false">B44*Assumptions!B57</f>
        <v>0</v>
      </c>
    </row>
    <row r="54" customFormat="false" ht="18" hidden="false" customHeight="true" outlineLevel="0" collapsed="false">
      <c r="A54" s="9" t="s">
        <v>225</v>
      </c>
      <c r="B54" s="9"/>
      <c r="C54" s="9"/>
      <c r="D54" s="9"/>
    </row>
    <row r="56" customFormat="false" ht="15" hidden="false" customHeight="false" outlineLevel="0" collapsed="false">
      <c r="A56" s="10" t="s">
        <v>226</v>
      </c>
      <c r="B56" s="11" t="n">
        <f aca="false">Assumptions!B58</f>
        <v>0</v>
      </c>
    </row>
    <row r="57" customFormat="false" ht="15" hidden="false" customHeight="false" outlineLevel="0" collapsed="false">
      <c r="A57" s="10" t="s">
        <v>227</v>
      </c>
      <c r="B57" s="11" t="n">
        <f aca="false">B56*Assumptions!B57</f>
        <v>0</v>
      </c>
    </row>
    <row r="59" customFormat="false" ht="15" hidden="false" customHeight="false" outlineLevel="0" collapsed="false">
      <c r="A59" s="10" t="s">
        <v>228</v>
      </c>
      <c r="B59" s="11" t="n">
        <f aca="false">B56+B57</f>
        <v>0</v>
      </c>
    </row>
    <row r="60" customFormat="false" ht="15" hidden="false" customHeight="false" outlineLevel="0" collapsed="false">
      <c r="A60" s="14" t="s">
        <v>229</v>
      </c>
      <c r="B60" s="11" t="n">
        <f aca="false">MIN(B50,MAX(0,B59))</f>
        <v>0</v>
      </c>
    </row>
    <row r="61" customFormat="false" ht="15" hidden="false" customHeight="false" outlineLevel="0" collapsed="false">
      <c r="A61" s="10" t="s">
        <v>230</v>
      </c>
      <c r="B61" s="11" t="n">
        <f aca="false">B59-B60</f>
        <v>0</v>
      </c>
    </row>
    <row r="63" customFormat="false" ht="15" hidden="false" customHeight="false" outlineLevel="0" collapsed="false">
      <c r="A63" s="47" t="s">
        <v>231</v>
      </c>
      <c r="B63" s="48" t="n">
        <f aca="false">B50-B60</f>
        <v>16050</v>
      </c>
    </row>
    <row r="65" customFormat="false" ht="18" hidden="false" customHeight="true" outlineLevel="0" collapsed="false">
      <c r="A65" s="9" t="s">
        <v>232</v>
      </c>
      <c r="B65" s="9"/>
      <c r="C65" s="9"/>
      <c r="D65" s="9"/>
    </row>
    <row r="67" customFormat="false" ht="15" hidden="false" customHeight="false" outlineLevel="0" collapsed="false">
      <c r="A67" s="10" t="s">
        <v>233</v>
      </c>
      <c r="B67" s="11" t="n">
        <f aca="false">Assumptions!B59</f>
        <v>0</v>
      </c>
    </row>
    <row r="68" customFormat="false" ht="15" hidden="false" customHeight="false" outlineLevel="0" collapsed="false">
      <c r="A68" s="10" t="s">
        <v>234</v>
      </c>
      <c r="B68" s="11" t="n">
        <f aca="false">B67*Assumptions!B57</f>
        <v>0</v>
      </c>
    </row>
    <row r="70" customFormat="false" ht="15" hidden="false" customHeight="false" outlineLevel="0" collapsed="false">
      <c r="A70" s="10" t="s">
        <v>235</v>
      </c>
      <c r="B70" s="11" t="n">
        <f aca="false">B67+B68</f>
        <v>0</v>
      </c>
    </row>
    <row r="71" customFormat="false" ht="15" hidden="false" customHeight="false" outlineLevel="0" collapsed="false">
      <c r="A71" s="14" t="s">
        <v>236</v>
      </c>
      <c r="B71" s="11" t="n">
        <f aca="false">MIN(B63,MAX(0,B70))</f>
        <v>0</v>
      </c>
    </row>
    <row r="72" customFormat="false" ht="15" hidden="false" customHeight="false" outlineLevel="0" collapsed="false">
      <c r="A72" s="10" t="s">
        <v>237</v>
      </c>
      <c r="B72" s="11" t="n">
        <f aca="false">B70-B71</f>
        <v>0</v>
      </c>
    </row>
    <row r="74" customFormat="false" ht="15" hidden="false" customHeight="false" outlineLevel="0" collapsed="false">
      <c r="A74" s="47" t="s">
        <v>238</v>
      </c>
      <c r="B74" s="48" t="n">
        <f aca="false">B63-B71</f>
        <v>16050</v>
      </c>
    </row>
    <row r="76" customFormat="false" ht="18" hidden="false" customHeight="true" outlineLevel="0" collapsed="false">
      <c r="A76" s="9" t="s">
        <v>239</v>
      </c>
      <c r="B76" s="9"/>
      <c r="C76" s="9"/>
      <c r="D76" s="9"/>
    </row>
    <row r="78" customFormat="false" ht="15" hidden="false" customHeight="false" outlineLevel="0" collapsed="false">
      <c r="A78" s="10" t="s">
        <v>240</v>
      </c>
      <c r="B78" s="11" t="n">
        <f aca="false">B28+B21+B67</f>
        <v>348000</v>
      </c>
    </row>
    <row r="80" customFormat="false" ht="15" hidden="false" customHeight="false" outlineLevel="0" collapsed="false">
      <c r="A80" s="10" t="s">
        <v>241</v>
      </c>
      <c r="B80" s="11" t="n">
        <f aca="false">B78*Assumptions!B60</f>
        <v>13920</v>
      </c>
    </row>
    <row r="81" customFormat="false" ht="15" hidden="false" customHeight="false" outlineLevel="0" collapsed="false">
      <c r="A81" s="14" t="s">
        <v>242</v>
      </c>
      <c r="B81" s="11" t="n">
        <f aca="false">MIN(B74,MAX(0,B80))</f>
        <v>13920</v>
      </c>
    </row>
    <row r="82" customFormat="false" ht="15" hidden="false" customHeight="false" outlineLevel="0" collapsed="false">
      <c r="A82" s="10" t="s">
        <v>243</v>
      </c>
      <c r="B82" s="11" t="n">
        <f aca="false">B80-B81</f>
        <v>0</v>
      </c>
    </row>
    <row r="84" customFormat="false" ht="15" hidden="false" customHeight="false" outlineLevel="0" collapsed="false">
      <c r="A84" s="47" t="s">
        <v>244</v>
      </c>
      <c r="B84" s="48" t="n">
        <f aca="false">B74-B81</f>
        <v>2130</v>
      </c>
    </row>
    <row r="86" customFormat="false" ht="18" hidden="false" customHeight="true" outlineLevel="0" collapsed="false">
      <c r="A86" s="9" t="s">
        <v>245</v>
      </c>
      <c r="B86" s="9"/>
      <c r="C86" s="9"/>
      <c r="D86" s="9"/>
    </row>
    <row r="88" customFormat="false" ht="15" hidden="false" customHeight="false" outlineLevel="0" collapsed="false">
      <c r="A88" s="10" t="s">
        <v>246</v>
      </c>
      <c r="B88" s="11" t="n">
        <f aca="false">B84</f>
        <v>2130</v>
      </c>
    </row>
    <row r="89" customFormat="false" ht="15" hidden="false" customHeight="false" outlineLevel="0" collapsed="false">
      <c r="A89" s="10" t="s">
        <v>247</v>
      </c>
      <c r="B89" s="11" t="n">
        <f aca="false">B88*Assumptions!B61</f>
        <v>426</v>
      </c>
    </row>
    <row r="90" customFormat="false" ht="15" hidden="false" customHeight="false" outlineLevel="0" collapsed="false">
      <c r="A90" s="10" t="s">
        <v>248</v>
      </c>
      <c r="B90" s="11" t="n">
        <f aca="false">B88*Assumptions!B62</f>
        <v>1704</v>
      </c>
    </row>
    <row r="92" customFormat="false" ht="43.5" hidden="false" customHeight="true" outlineLevel="0" collapsed="false">
      <c r="A92" s="46" t="s">
        <v>249</v>
      </c>
      <c r="B92" s="46"/>
      <c r="C92" s="46"/>
      <c r="D92" s="46"/>
    </row>
    <row r="93" customFormat="false" ht="18" hidden="false" customHeight="true" outlineLevel="0" collapsed="false">
      <c r="A93" s="9" t="s">
        <v>250</v>
      </c>
      <c r="B93" s="9"/>
      <c r="C93" s="9"/>
      <c r="D93" s="9"/>
    </row>
    <row r="95" customFormat="false" ht="15" hidden="false" customHeight="false" outlineLevel="0" collapsed="false">
      <c r="A95" s="10" t="s">
        <v>251</v>
      </c>
      <c r="B95" s="11" t="n">
        <f aca="false">B37+B60+B89</f>
        <v>150626</v>
      </c>
    </row>
    <row r="96" customFormat="false" ht="15" hidden="false" customHeight="false" outlineLevel="0" collapsed="false">
      <c r="A96" s="10" t="s">
        <v>252</v>
      </c>
      <c r="B96" s="11" t="n">
        <f aca="false">MIN(MAX(0,B95),B52)</f>
        <v>0</v>
      </c>
    </row>
    <row r="97" customFormat="false" ht="15" hidden="false" customHeight="false" outlineLevel="0" collapsed="false">
      <c r="A97" s="14" t="s">
        <v>253</v>
      </c>
      <c r="B97" s="11" t="n">
        <f aca="false">B95-B96</f>
        <v>150626</v>
      </c>
    </row>
    <row r="98" customFormat="false" ht="15" hidden="false" customHeight="false" outlineLevel="0" collapsed="false">
      <c r="A98" s="14" t="s">
        <v>254</v>
      </c>
      <c r="B98" s="11" t="n">
        <f aca="false">B47+B96+B71+B81+B90</f>
        <v>15624</v>
      </c>
    </row>
    <row r="100" customFormat="false" ht="15" hidden="false" customHeight="false" outlineLevel="0" collapsed="false">
      <c r="A100" s="49" t="s">
        <v>255</v>
      </c>
      <c r="B100" s="50" t="n">
        <f aca="false">(B97+B98)-B24</f>
        <v>0</v>
      </c>
    </row>
    <row r="102" customFormat="false" ht="18" hidden="false" customHeight="true" outlineLevel="0" collapsed="false">
      <c r="A102" s="9" t="s">
        <v>256</v>
      </c>
      <c r="B102" s="9"/>
      <c r="C102" s="9"/>
      <c r="D102" s="9"/>
    </row>
    <row r="104" customFormat="false" ht="15" hidden="false" customHeight="false" outlineLevel="0" collapsed="false">
      <c r="A104" s="10" t="s">
        <v>257</v>
      </c>
      <c r="B104" s="11" t="n">
        <f aca="false">B33+B56</f>
        <v>98000</v>
      </c>
    </row>
    <row r="105" customFormat="false" ht="15" hidden="false" customHeight="false" outlineLevel="0" collapsed="false">
      <c r="A105" s="14" t="s">
        <v>258</v>
      </c>
      <c r="B105" s="11" t="n">
        <f aca="false">B97-B104</f>
        <v>52626</v>
      </c>
    </row>
    <row r="106" customFormat="false" ht="15" hidden="false" customHeight="false" outlineLevel="0" collapsed="false">
      <c r="A106" s="10" t="s">
        <v>259</v>
      </c>
      <c r="B106" s="11" t="n">
        <f aca="false">B44+Assumptions!B59</f>
        <v>0</v>
      </c>
    </row>
    <row r="107" customFormat="false" ht="15" hidden="false" customHeight="false" outlineLevel="0" collapsed="false">
      <c r="A107" s="14" t="s">
        <v>260</v>
      </c>
      <c r="B107" s="11" t="n">
        <f aca="false">B98-B106</f>
        <v>15624</v>
      </c>
    </row>
    <row r="109" customFormat="false" ht="15" hidden="false" customHeight="false" outlineLevel="0" collapsed="false">
      <c r="A109" s="12" t="s">
        <v>261</v>
      </c>
      <c r="B109" s="13" t="n">
        <f aca="false">B105+B107</f>
        <v>68250</v>
      </c>
    </row>
    <row r="111" customFormat="false" ht="67.5" hidden="false" customHeight="true" outlineLevel="0" collapsed="false">
      <c r="A111" s="46" t="s">
        <v>262</v>
      </c>
      <c r="B111" s="46"/>
      <c r="C111" s="46"/>
      <c r="D111" s="46"/>
    </row>
  </sheetData>
  <mergeCells count="14">
    <mergeCell ref="A1:D1"/>
    <mergeCell ref="A2:D2"/>
    <mergeCell ref="A4:D4"/>
    <mergeCell ref="A12:D12"/>
    <mergeCell ref="A26:D26"/>
    <mergeCell ref="A42:D42"/>
    <mergeCell ref="A54:D54"/>
    <mergeCell ref="A65:D65"/>
    <mergeCell ref="A76:D76"/>
    <mergeCell ref="A86:D86"/>
    <mergeCell ref="A92:D92"/>
    <mergeCell ref="A93:D93"/>
    <mergeCell ref="A102:D102"/>
    <mergeCell ref="A111:D1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2026-08-02T23:41:40Z</dcterms:created>
  <dc:creator>openpyxl</dc:creator>
  <dc:description/>
  <dc:language>en-US</dc:language>
  <cp:lastModifiedBy/>
  <dcterms:modified xsi:type="dcterms:W3CDTF">2026-08-02T23:41:40Z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