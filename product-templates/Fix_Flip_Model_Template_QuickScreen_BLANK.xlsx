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eal Screen" sheetId="2" state="visible" r:id="rId4"/>
    <sheet name="Assumptions" sheetId="3" state="visible" r:id="rId5"/>
    <sheet name="Rehab Estimate" sheetId="4" state="visible" r:id="rId6"/>
    <sheet name="Source Log" sheetId="5" state="visible" r:id="rId7"/>
    <sheet name="Screen Resul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Guarded with IFERROR (returns 0) so this reads cleanly before ARV/Assumptions are filled in. Added when this template was blanked from the 4134 E 142nd St deal copy on 2026-08-22 -- the original formula (B18/Assumptions!B9) produced #DIV/0! on an empty ARV, which never showed up while the deal data was still in place.</t>
        </r>
      </text>
    </comment>
  </commentList>
</comments>
</file>

<file path=xl/sharedStrings.xml><?xml version="1.0" encoding="utf-8"?>
<sst xmlns="http://schemas.openxmlformats.org/spreadsheetml/2006/main" count="185" uniqueCount="162">
  <si>
    <t xml:space="preserve">Fix &amp; Flip Financial Model — Quick Screen Template</t>
  </si>
  <si>
    <t xml:space="preserve">Pre-diligence deal screener — before a term sheet, before an itemized rehab budget</t>
  </si>
  <si>
    <t xml:space="preserve">WHO THIS IS FOR</t>
  </si>
  <si>
    <t xml:space="preserve">A fast go/no-go read on a property BEFORE you've requested a lender term sheet or a contractor's itemized bid — the filter that decides whether a deal is worth the time to fully underwrite. Two audiences:</t>
  </si>
  <si>
    <t xml:space="preserve">  •  You, doing initial deal triage on inbound leads or MLS/off-market finds.</t>
  </si>
  <si>
    <t xml:space="preserve">  •  Wholesalers, for whom this IS the whole analysis — no lender, no contractor, no itemized budget, ever.</t>
  </si>
  <si>
    <t xml:space="preserve">HOW THIS FITS THE TEMPLATE FAMILY</t>
  </si>
  <si>
    <t xml:space="preserve">Quick Screen  →  Borrower / JV Partner (± Seller Financing)  →  Final client-facing deal analysis. A deal that clears the Quick Screen graduates to a full model once a term sheet and itemized rehab bid exist. Sourced figures (ARV, comps, tax) should carry forward into the fuller model rather than being re-pulled from scratch — see the Source Log tab.</t>
  </si>
  <si>
    <t xml:space="preserve">STEP 1 — Assumptions tab</t>
  </si>
  <si>
    <t xml:space="preserve">Enter the asking/contract price and ARV. Every sourced figure has a Source, Report/Reference, and Date Pulled column — cite the actual SendFuse Property Profile, Dealio.pro Comps Report, or county assessor record it came from. Trust hierarchy (highest to lowest): County Assessor (verified) &gt; MLS listing data &gt; Dealio.pro Comps/skip-trace &gt; SendFuse Property Profile.</t>
  </si>
  <si>
    <t xml:space="preserve">STEP 2 — Rehab Estimate tab</t>
  </si>
  <si>
    <t xml:space="preserve">Category-level only — six buckets, not a 50-line contractor bid. Use the optional $/sqft calculator as a sanity check. The Rehab Estimate Stage flag at the top of that tab should always read 'Category-Level Estimate' on this template; a deal that graduates to the Borrower/JV model gets re-flagged 'Itemized (Contractor Confirmed)' there once a real bid exists.</t>
  </si>
  <si>
    <t xml:space="preserve">STEP 3 — Source Log tab</t>
  </si>
  <si>
    <t xml:space="preserve">Log every report pulled (SendFuse Property Profile, Dealio.pro Comps Report, county assessor record) with source, date, and a file reference. This is what lets a client trace any number in the Deal Screen tab back to a named, dated source document — keep the actual exported PDFs/CSVs alongside this workbook.</t>
  </si>
  <si>
    <t xml:space="preserve">STEP 4 — Review Deal Screen tab</t>
  </si>
  <si>
    <t xml:space="preserve">Everything downstream (MAO, spread, quick profit estimate, verdict) calculates automatically. Adjust the Minimum Acceptable Profit / Margin thresholds on the Assumptions tab to fit the specific deal or buyer.</t>
  </si>
  <si>
    <t xml:space="preserve">WHAT THIS TEMPLATE DELIBERATELY LEAVES OUT</t>
  </si>
  <si>
    <t xml:space="preserve">No loan terms, no monthly cash flow, no JV waterfall, no itemized rehab. Those require a term sheet and a contractor bid, which by definition don't exist yet at this stage. Use the Borrower or JV Partner template once they do.</t>
  </si>
  <si>
    <t xml:space="preserve">A NOTE ON LENDERS</t>
  </si>
  <si>
    <t xml:space="preserve">This stage is lender-agnostic by design — no financing tab exists yet to name one. Once a deal graduates, the Borrower/JV model's Lender field takes whichever of your lender relationships actually issues the term sheet; nothing here should assume a specific lender.</t>
  </si>
  <si>
    <t xml:space="preserve">Quick Screen (Pre-Diligence) — Deal Read</t>
  </si>
  <si>
    <t xml:space="preserve">4134 E 142nd St, Cleveland, OH 44128  |  Quick Screen (Pre-Diligence Stage)</t>
  </si>
  <si>
    <t xml:space="preserve">Prepared:</t>
  </si>
  <si>
    <t xml:space="preserve">Stage:</t>
  </si>
  <si>
    <t xml:space="preserve">Prepared For:</t>
  </si>
  <si>
    <t xml:space="preserve">[Client / Wholesaler Name]</t>
  </si>
  <si>
    <t xml:space="preserve">e.g. "Prepared for Jane Smith at her request" if this is a wholesaler-commissioned marketing copy</t>
  </si>
  <si>
    <t xml:space="preserve">PROPERTY &amp; DEAL OVERVIEW</t>
  </si>
  <si>
    <t xml:space="preserve">Property Address</t>
  </si>
  <si>
    <t xml:space="preserve">Asking / Contract Price</t>
  </si>
  <si>
    <t xml:space="preserve">ARV Source</t>
  </si>
  <si>
    <t xml:space="preserve">ARV Estimate</t>
  </si>
  <si>
    <t xml:space="preserve">Tax Source</t>
  </si>
  <si>
    <t xml:space="preserve">Rehab Estimate (category-level)</t>
  </si>
  <si>
    <t xml:space="preserve">QUICK SCREEN RESULTS</t>
  </si>
  <si>
    <t xml:space="preserve">70% Rule Max Allowable Offer (MAO)</t>
  </si>
  <si>
    <t xml:space="preserve">Spread vs. Asking / Contract Price</t>
  </si>
  <si>
    <t xml:space="preserve">Wholesale Assignment Fee Potential</t>
  </si>
  <si>
    <t xml:space="preserve">As-Is Market Position (asking vs. current-condition comps)</t>
  </si>
  <si>
    <t xml:space="preserve">Quick Gross Profit Estimate</t>
  </si>
  <si>
    <t xml:space="preserve">Quick Margin (% of ARV)</t>
  </si>
  <si>
    <t xml:space="preserve">Rehab-Risk Flag (deferred maintenance)</t>
  </si>
  <si>
    <t xml:space="preserve">VERDICT</t>
  </si>
  <si>
    <t xml:space="preserve">NOTES</t>
  </si>
  <si>
    <t xml:space="preserve">•  TEMPLATE — replace all example figures with the actual deal and cite every sourced figure on the Assumptions tab.</t>
  </si>
  <si>
    <t xml:space="preserve">•  Pre-diligence screen only — no loan terms, no itemized rehab, no waterfall. Not a commitment to lend, an appraisal, or a guarantee of return.</t>
  </si>
  <si>
    <t xml:space="preserve">•  A deal that clears this screen should graduate to the Borrower or JV Partner template once a term sheet and itemized rehab bid exist.</t>
  </si>
  <si>
    <t xml:space="preserve">Assumptions &amp; Inputs — Quick Screen</t>
  </si>
  <si>
    <t xml:space="preserve">Blue/yellow = enter actual figures. Every sourced field cites Source / Report / Date Pulled.</t>
  </si>
  <si>
    <t xml:space="preserve">ACQUISITION</t>
  </si>
  <si>
    <t xml:space="preserve">Value</t>
  </si>
  <si>
    <t xml:space="preserve">Source</t>
  </si>
  <si>
    <t xml:space="preserve">Date Pulled</t>
  </si>
  <si>
    <t xml:space="preserve">Report / Reference</t>
  </si>
  <si>
    <t xml:space="preserve">MLS / Client</t>
  </si>
  <si>
    <t xml:space="preserve">County / Jurisdiction</t>
  </si>
  <si>
    <t xml:space="preserve">MLS #442988814 (active listing, Pete Cymbal / TimberVine Group), pulled via Dealio.pro</t>
  </si>
  <si>
    <t xml:space="preserve">Comps Used (count)</t>
  </si>
  <si>
    <t xml:space="preserve">Full comp set pulled; all 11 "Flipped"-tagged comps individually verified via transaction-pair method (complete)</t>
  </si>
  <si>
    <t xml:space="preserve">PROPERTY DATA (SOURCED — see Source Log tab)</t>
  </si>
  <si>
    <t xml:space="preserve">As-Is Value (assessor/appraisal)</t>
  </si>
  <si>
    <t xml:space="preserve">Beds / Baths / Sq Ft</t>
  </si>
  <si>
    <t xml:space="preserve">Cross-check SendFuse vs. Assessor — SendFuse known to mislabel prior-owner data</t>
  </si>
  <si>
    <t xml:space="preserve">Annual Property Tax</t>
  </si>
  <si>
    <t xml:space="preserve">Current Owner / Debt Stack Notes</t>
  </si>
  <si>
    <t xml:space="preserve">Trust hierarchy (highest to lowest):</t>
  </si>
  <si>
    <t xml:space="preserve">County Assessor (verified) &gt; MLS listing data &gt; Dealio.pro Comps/skip-trace &gt; SendFuse Property Profile.</t>
  </si>
  <si>
    <t xml:space="preserve">REHAB ESTIMATE</t>
  </si>
  <si>
    <t xml:space="preserve">Total Rehab Estimate (category-level — see Rehab Estimate tab)</t>
  </si>
  <si>
    <t xml:space="preserve">Rehab Estimate Stage</t>
  </si>
  <si>
    <t xml:space="preserve">HOLDING COST ESTIMATE (rough — not a lender reserve)</t>
  </si>
  <si>
    <t xml:space="preserve">Property Tax (monthly, from annual above)</t>
  </si>
  <si>
    <t xml:space="preserve">Insurance (monthly, est.)</t>
  </si>
  <si>
    <t xml:space="preserve">PLACEHOLDER — not sourced</t>
  </si>
  <si>
    <t xml:space="preserve">Utilities (monthly, est. — vacant/rehab)</t>
  </si>
  <si>
    <t xml:space="preserve">HOA Dues (monthly)</t>
  </si>
  <si>
    <t xml:space="preserve">PROJECTED TIMELINE</t>
  </si>
  <si>
    <t xml:space="preserve">Estimated Hold Period (months, rough)</t>
  </si>
  <si>
    <t xml:space="preserve">Rehab + marketing/closing, ballpark for this stage</t>
  </si>
  <si>
    <t xml:space="preserve">PROJECTED DISPOSITION</t>
  </si>
  <si>
    <t xml:space="preserve">Target Sale Price</t>
  </si>
  <si>
    <t xml:space="preserve">Selling Commission (% of sale price)</t>
  </si>
  <si>
    <t xml:space="preserve">Selling Closing Costs (% of sale price)</t>
  </si>
  <si>
    <t xml:space="preserve">SCREEN THRESHOLDS (verdict cutoffs — adjust per buyer/deal)</t>
  </si>
  <si>
    <t xml:space="preserve">Minimum Acceptable Profit ($)</t>
  </si>
  <si>
    <t xml:space="preserve">Minimum Acceptable Margin (% of ARV)</t>
  </si>
  <si>
    <t xml:space="preserve">AS-IS MARKET CHECK (Rule 5 — is the asking price fair for current condition, before rehab?)</t>
  </si>
  <si>
    <t xml:space="preserve">Pull non-flipped comps from the same comp set already gathered for ARV (no separate pull) — no "Flipped" tag, no confirmed transaction-pair renovation. This checks whether you're paying above or below as-is market, independent of the ARV question.</t>
  </si>
  <si>
    <t xml:space="preserve">Subject Square Footage</t>
  </si>
  <si>
    <t xml:space="preserve">From Beds/Baths/Sqft field above — kept numeric here for calculation</t>
  </si>
  <si>
    <t xml:space="preserve">As-Is Comp $/Sqft — Average</t>
  </si>
  <si>
    <t xml:space="preserve">As-Is Comp $/Sqft — Median</t>
  </si>
  <si>
    <t xml:space="preserve">Non-Flipped Comp Count</t>
  </si>
  <si>
    <t xml:space="preserve">Rehab Estimate — Category-Level</t>
  </si>
  <si>
    <t xml:space="preserve">Six buckets, NOT an itemized contractor bid — replace category totals as diligence progresses</t>
  </si>
  <si>
    <t xml:space="preserve">REHAB ESTIMATE STAGE:</t>
  </si>
  <si>
    <t xml:space="preserve">Category-Level Estimate (Pre-Diligence)</t>
  </si>
  <si>
    <t xml:space="preserve">This flag should read "Itemized (Contractor Confirmed)" only once a real contractor bid replaces these category totals — that happens on the Borrower/JV Partner template, not here.</t>
  </si>
  <si>
    <t xml:space="preserve">CATEGORY-LEVEL ESTIMATE (enter directly, or use the calculator below as a sanity check)</t>
  </si>
  <si>
    <t xml:space="preserve">Category</t>
  </si>
  <si>
    <t xml:space="preserve">Estimated Cost</t>
  </si>
  <si>
    <t xml:space="preserve">Basis / Notes</t>
  </si>
  <si>
    <t xml:space="preserve">Exterior</t>
  </si>
  <si>
    <t xml:space="preserve">PLACEHOLDER — visual/drive-by estimate, not a bid</t>
  </si>
  <si>
    <t xml:space="preserve">Interior / Structural</t>
  </si>
  <si>
    <t xml:space="preserve">Kitchen</t>
  </si>
  <si>
    <t xml:space="preserve">Bathroom(s)</t>
  </si>
  <si>
    <t xml:space="preserve">Systems (Elec / HVAC / Plumbing)</t>
  </si>
  <si>
    <t xml:space="preserve">Admin / Contingency (~10%)</t>
  </si>
  <si>
    <t xml:space="preserve">OPTIONAL — $/SQFT SANITY-CHECK CALCULATOR</t>
  </si>
  <si>
    <t xml:space="preserve">Square Footage</t>
  </si>
  <si>
    <t xml:space="preserve">Rehab Tier (Light $15-25/sf, Medium $25-40/sf, Heavy $40-65/sf)</t>
  </si>
  <si>
    <t xml:space="preserve">Assumed $/Sqft for Tier</t>
  </si>
  <si>
    <t xml:space="preserve">&lt;- suggested total; compare against category sum above</t>
  </si>
  <si>
    <t xml:space="preserve">TOTAL REHAB ESTIMATE (feeds Assumptions &amp; Deal Screen)</t>
  </si>
  <si>
    <t xml:space="preserve">DEFERRED MAINTENANCE / COMPONENT AGE SIGNAL</t>
  </si>
  <si>
    <t xml:space="preserve">Separate from ARV — this estimates how much of the property's major-system lifespan is used up, as a rehab-risk check. A confirmed transaction-pair renovation (real purchase-then-resale price jump) is the strongest source; an assessed-value jump or MLS listing history are weaker but usable. Sale recency alone is NOT evidence of a recent update — a property can change owners without any work being done.</t>
  </si>
  <si>
    <t xml:space="preserve">Last Documented Update — Year</t>
  </si>
  <si>
    <t xml:space="preserve">Signal Source</t>
  </si>
  <si>
    <t xml:space="preserve">Options: Confirmed renovation (transaction-pair) / Assessed-value jump / MLS listing history / None found — treat as original</t>
  </si>
  <si>
    <t xml:space="preserve">Years Since Last Documented Update</t>
  </si>
  <si>
    <t xml:space="preserve">TYPICAL COMPONENT LIFESPANS (reference — not deal-specific)</t>
  </si>
  <si>
    <t xml:space="preserve">Roof</t>
  </si>
  <si>
    <t xml:space="preserve">20-25 yrs</t>
  </si>
  <si>
    <t xml:space="preserve">HVAC</t>
  </si>
  <si>
    <t xml:space="preserve">15-20 yrs</t>
  </si>
  <si>
    <t xml:space="preserve">Plumbing / Electrical</t>
  </si>
  <si>
    <t xml:space="preserve">Often original in pre-1960s stock unless documented otherwise</t>
  </si>
  <si>
    <t xml:space="preserve">Rehab-Risk Flag</t>
  </si>
  <si>
    <t xml:space="preserve">Source Log — Citations</t>
  </si>
  <si>
    <t xml:space="preserve">Every pulled report, logged so any figure in this workbook traces back to a named, dated source</t>
  </si>
  <si>
    <t xml:space="preserve">SOURCE LOG</t>
  </si>
  <si>
    <t xml:space="preserve">Report Type</t>
  </si>
  <si>
    <t xml:space="preserve">Field(s) Sourced</t>
  </si>
  <si>
    <t xml:space="preserve">File / Reference</t>
  </si>
  <si>
    <t xml:space="preserve">Notes</t>
  </si>
  <si>
    <t xml:space="preserve">[Parcel # / record link]</t>
  </si>
  <si>
    <t xml:space="preserve">[lpp-export- filename or report PDF name]</t>
  </si>
  <si>
    <t xml:space="preserve">[lpp-export- CSV filename]</t>
  </si>
  <si>
    <t xml:space="preserve">[SendFuse report name / order #]</t>
  </si>
  <si>
    <t xml:space="preserve">Trust hierarchy (highest to lowest): County Assessor (verified) &gt; MLS listing data &gt; Dealio.pro Comps/skip-trace &gt; SendFuse Property Profile. Flag conflicts between sources rather than silently picking one.</t>
  </si>
  <si>
    <t xml:space="preserve">Keep the actual exported PDFs/CSVs alongside this workbook — this log is the index, not a substitute for the source documents themselves.</t>
  </si>
  <si>
    <t xml:space="preserve">Screen Results — 70% Rule, Spread &amp; Verdict</t>
  </si>
  <si>
    <t xml:space="preserve">All formulas — nothing entered directly on this tab</t>
  </si>
  <si>
    <t xml:space="preserve">70% RULE — MAXIMUM ALLOWABLE OFFER</t>
  </si>
  <si>
    <t xml:space="preserve">Less: Rehab Estimate</t>
  </si>
  <si>
    <t xml:space="preserve">MAO (70% x ARV − Rehab Estimate)</t>
  </si>
  <si>
    <t xml:space="preserve">Spread (MAO − Asking/Contract Price)</t>
  </si>
  <si>
    <t xml:space="preserve">Positive = room under the 70% ceiling. Negative = asking price exceeds the MAO at this rehab estimate.</t>
  </si>
  <si>
    <t xml:space="preserve">QUICK GROSS PROFIT ESTIMATE (no financing costs — pre-term-sheet)</t>
  </si>
  <si>
    <t xml:space="preserve">Target Sale Price (= ARV)</t>
  </si>
  <si>
    <t xml:space="preserve">Less: Selling Commission + Closing Costs</t>
  </si>
  <si>
    <t xml:space="preserve">Less: Purchase Price, Rehab Estimate &amp; Holding Cost Estimate</t>
  </si>
  <si>
    <t xml:space="preserve">QUICK GROSS PROFIT ESTIMATE</t>
  </si>
  <si>
    <t xml:space="preserve">WHOLESALE VIEW</t>
  </si>
  <si>
    <t xml:space="preserve">Assignment Fee Potential (MAO − Contract Price)</t>
  </si>
  <si>
    <t xml:space="preserve">Same figure as Spread above — framed as room to assign to a cash buyer at or under the 70% ceiling.</t>
  </si>
  <si>
    <t xml:space="preserve">Verdict</t>
  </si>
  <si>
    <t xml:space="preserve">AS-IS MARKET CHECK (Rule 5 — asking price vs. current-condition comps)</t>
  </si>
  <si>
    <t xml:space="preserve">As-Is Comp Range — Average-based</t>
  </si>
  <si>
    <t xml:space="preserve">As-Is Comp Range — Median-based</t>
  </si>
  <si>
    <t xml:space="preserve">As-Is Market Position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</si>
</sst>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;&quot;($&quot;#,##0\);\-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6" customFormat="false" ht="27.75" hidden="false" customHeight="true" outlineLevel="0" collapsed="false">
      <c r="A6" s="5" t="s">
        <v>3</v>
      </c>
    </row>
    <row r="7" customFormat="false" ht="15" hidden="false" customHeight="true" outlineLevel="0" collapsed="false">
      <c r="A7" s="6" t="s">
        <v>4</v>
      </c>
    </row>
    <row r="8" customFormat="false" ht="15" hidden="false" customHeight="true" outlineLevel="0" collapsed="false">
      <c r="A8" s="6" t="s">
        <v>5</v>
      </c>
    </row>
    <row r="10" customFormat="false" ht="15" hidden="false" customHeight="true" outlineLevel="0" collapsed="false">
      <c r="A10" s="4" t="s">
        <v>6</v>
      </c>
    </row>
    <row r="12" customFormat="false" ht="41.25" hidden="false" customHeight="true" outlineLevel="0" collapsed="false">
      <c r="A12" s="5" t="s">
        <v>7</v>
      </c>
    </row>
    <row r="14" customFormat="false" ht="15" hidden="false" customHeight="true" outlineLevel="0" collapsed="false">
      <c r="A14" s="4" t="s">
        <v>8</v>
      </c>
    </row>
    <row r="15" customFormat="false" ht="54.75" hidden="false" customHeight="true" outlineLevel="0" collapsed="false">
      <c r="A15" s="5" t="s">
        <v>9</v>
      </c>
    </row>
    <row r="17" customFormat="false" ht="15" hidden="false" customHeight="true" outlineLevel="0" collapsed="false">
      <c r="A17" s="4" t="s">
        <v>10</v>
      </c>
    </row>
    <row r="18" customFormat="false" ht="41.25" hidden="false" customHeight="true" outlineLevel="0" collapsed="false">
      <c r="A18" s="5" t="s">
        <v>11</v>
      </c>
    </row>
    <row r="20" customFormat="false" ht="15" hidden="false" customHeight="true" outlineLevel="0" collapsed="false">
      <c r="A20" s="4" t="s">
        <v>12</v>
      </c>
    </row>
    <row r="21" customFormat="false" ht="41.25" hidden="false" customHeight="true" outlineLevel="0" collapsed="false">
      <c r="A21" s="5" t="s">
        <v>13</v>
      </c>
    </row>
    <row r="23" customFormat="false" ht="15" hidden="false" customHeight="true" outlineLevel="0" collapsed="false">
      <c r="A23" s="4" t="s">
        <v>14</v>
      </c>
    </row>
    <row r="24" customFormat="false" ht="27.75" hidden="false" customHeight="true" outlineLevel="0" collapsed="false">
      <c r="A24" s="5" t="s">
        <v>15</v>
      </c>
    </row>
    <row r="26" customFormat="false" ht="15" hidden="false" customHeight="true" outlineLevel="0" collapsed="false">
      <c r="A26" s="4" t="s">
        <v>16</v>
      </c>
    </row>
    <row r="27" customFormat="false" ht="27.75" hidden="false" customHeight="true" outlineLevel="0" collapsed="false">
      <c r="A27" s="5" t="s">
        <v>17</v>
      </c>
    </row>
    <row r="29" customFormat="false" ht="15" hidden="false" customHeight="true" outlineLevel="0" collapsed="false">
      <c r="A29" s="4" t="s">
        <v>18</v>
      </c>
    </row>
    <row r="30" customFormat="false" ht="41.25" hidden="false" customHeight="true" outlineLevel="0" collapsed="false">
      <c r="A30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0"/>
  </cols>
  <sheetData>
    <row r="1" customFormat="false" ht="19.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4" customFormat="false" ht="15" hidden="false" customHeight="true" outlineLevel="0" collapsed="false">
      <c r="A4" s="6" t="s">
        <v>22</v>
      </c>
      <c r="B4" s="7" t="n">
        <f aca="true">TODAY()</f>
        <v>46256</v>
      </c>
      <c r="C4" s="6" t="s">
        <v>23</v>
      </c>
      <c r="D4" s="8" t="str">
        <f aca="false">'Rehab Estimate'!B4</f>
        <v>Category-Level Estimate (Pre-Diligence)</v>
      </c>
    </row>
    <row r="5" customFormat="false" ht="15" hidden="false" customHeight="true" outlineLevel="0" collapsed="false">
      <c r="A5" s="6" t="s">
        <v>24</v>
      </c>
      <c r="B5" s="9" t="s">
        <v>25</v>
      </c>
      <c r="C5" s="10" t="s">
        <v>26</v>
      </c>
    </row>
    <row r="6" customFormat="false" ht="15" hidden="false" customHeight="true" outlineLevel="0" collapsed="false">
      <c r="A6" s="11" t="s">
        <v>27</v>
      </c>
      <c r="B6" s="12"/>
      <c r="C6" s="12"/>
      <c r="D6" s="12"/>
    </row>
    <row r="8" customFormat="false" ht="15" hidden="false" customHeight="true" outlineLevel="0" collapsed="false">
      <c r="A8" s="1" t="s">
        <v>28</v>
      </c>
      <c r="B8" s="8" t="n">
        <f aca="false">Assumptions!B6</f>
        <v>0</v>
      </c>
    </row>
    <row r="9" customFormat="false" ht="15" hidden="false" customHeight="true" outlineLevel="0" collapsed="false">
      <c r="A9" s="1" t="s">
        <v>29</v>
      </c>
      <c r="B9" s="13" t="n">
        <f aca="false">Assumptions!B8</f>
        <v>0</v>
      </c>
      <c r="C9" s="1" t="s">
        <v>30</v>
      </c>
      <c r="D9" s="8" t="n">
        <f aca="false">Assumptions!C9</f>
        <v>0</v>
      </c>
    </row>
    <row r="10" customFormat="false" ht="15" hidden="false" customHeight="true" outlineLevel="0" collapsed="false">
      <c r="A10" s="1" t="s">
        <v>31</v>
      </c>
      <c r="B10" s="13" t="n">
        <f aca="false">Assumptions!B9</f>
        <v>0</v>
      </c>
      <c r="C10" s="1" t="s">
        <v>32</v>
      </c>
      <c r="D10" s="8" t="n">
        <f aca="false">Assumptions!C16</f>
        <v>0</v>
      </c>
    </row>
    <row r="11" customFormat="false" ht="15" hidden="false" customHeight="true" outlineLevel="0" collapsed="false">
      <c r="A11" s="1" t="s">
        <v>33</v>
      </c>
      <c r="B11" s="13" t="n">
        <f aca="false">'Rehab Estimate'!C24</f>
        <v>0</v>
      </c>
    </row>
    <row r="13" customFormat="false" ht="15" hidden="false" customHeight="true" outlineLevel="0" collapsed="false">
      <c r="A13" s="11" t="s">
        <v>34</v>
      </c>
      <c r="B13" s="12"/>
      <c r="C13" s="12"/>
      <c r="D13" s="12"/>
    </row>
    <row r="15" customFormat="false" ht="15" hidden="false" customHeight="true" outlineLevel="0" collapsed="false">
      <c r="A15" s="1" t="s">
        <v>35</v>
      </c>
      <c r="B15" s="13" t="n">
        <f aca="false">'Screen Results'!B8</f>
        <v>0</v>
      </c>
    </row>
    <row r="16" customFormat="false" ht="15" hidden="false" customHeight="true" outlineLevel="0" collapsed="false">
      <c r="A16" s="1" t="s">
        <v>36</v>
      </c>
      <c r="B16" s="13" t="n">
        <f aca="false">'Screen Results'!B10</f>
        <v>0</v>
      </c>
    </row>
    <row r="17" customFormat="false" ht="15" hidden="false" customHeight="true" outlineLevel="0" collapsed="false">
      <c r="A17" s="1" t="s">
        <v>37</v>
      </c>
      <c r="B17" s="13" t="n">
        <f aca="false">'Screen Results'!B22</f>
        <v>0</v>
      </c>
    </row>
    <row r="18" customFormat="false" ht="15" hidden="false" customHeight="true" outlineLevel="0" collapsed="false">
      <c r="A18" s="6" t="s">
        <v>38</v>
      </c>
      <c r="B18" s="14" t="str">
        <f aca="false">'Screen Results'!B36</f>
        <v>WITHIN RANGE — asking falls between the average- and median-based as-is estimates</v>
      </c>
      <c r="C18" s="14"/>
      <c r="D18" s="14"/>
    </row>
    <row r="19" customFormat="false" ht="15" hidden="false" customHeight="true" outlineLevel="0" collapsed="false">
      <c r="A19" s="1" t="s">
        <v>39</v>
      </c>
      <c r="B19" s="13" t="n">
        <f aca="false">'Screen Results'!B18</f>
        <v>0</v>
      </c>
    </row>
    <row r="20" customFormat="false" ht="15" hidden="false" customHeight="true" outlineLevel="0" collapsed="false">
      <c r="A20" s="1" t="s">
        <v>40</v>
      </c>
      <c r="B20" s="15" t="n">
        <f aca="false">'Screen Results'!B19</f>
        <v>0</v>
      </c>
    </row>
    <row r="21" customFormat="false" ht="23.25" hidden="false" customHeight="true" outlineLevel="0" collapsed="false">
      <c r="A21" s="1" t="s">
        <v>41</v>
      </c>
      <c r="B21" s="16" t="str">
        <f aca="false">'Rehab Estimate'!B42</f>
        <v>UNKNOWN — no documented update found; treat major systems as original/end-of-life until proven otherwise</v>
      </c>
      <c r="C21" s="16"/>
      <c r="D21" s="16"/>
    </row>
    <row r="22" customFormat="false" ht="15" hidden="false" customHeight="true" outlineLevel="0" collapsed="false">
      <c r="A22" s="11" t="s">
        <v>42</v>
      </c>
      <c r="B22" s="12"/>
      <c r="C22" s="12"/>
      <c r="D22" s="12"/>
    </row>
    <row r="24" customFormat="false" ht="17.25" hidden="false" customHeight="true" outlineLevel="0" collapsed="false">
      <c r="A24" s="17" t="str">
        <f aca="false">'Screen Results'!B27</f>
        <v>PURSUE — proceed to full Borrower/JV model</v>
      </c>
      <c r="B24" s="17"/>
      <c r="C24" s="17"/>
      <c r="D24" s="17"/>
    </row>
    <row r="25" customFormat="false" ht="15" hidden="false" customHeight="true" outlineLevel="0" collapsed="false">
      <c r="A25" s="18" t="str">
        <f aca="false">'Screen Results'!B28</f>
        <v>Quick profit $0 (0.0% of ARV) vs. thresholds of $0 / 0.0%. Spread vs. asking: $0.</v>
      </c>
      <c r="B25" s="18"/>
      <c r="C25" s="18"/>
      <c r="D25" s="18"/>
    </row>
    <row r="26" customFormat="false" ht="15" hidden="false" customHeight="true" outlineLevel="0" collapsed="false">
      <c r="A26" s="18"/>
      <c r="B26" s="18"/>
      <c r="C26" s="18"/>
      <c r="D26" s="18"/>
    </row>
    <row r="28" customFormat="false" ht="15" hidden="false" customHeight="true" outlineLevel="0" collapsed="false">
      <c r="A28" s="4" t="s">
        <v>43</v>
      </c>
    </row>
    <row r="29" customFormat="false" ht="32.25" hidden="false" customHeight="true" outlineLevel="0" collapsed="false">
      <c r="A29" s="19" t="s">
        <v>44</v>
      </c>
    </row>
    <row r="30" customFormat="false" ht="32.25" hidden="false" customHeight="true" outlineLevel="0" collapsed="false">
      <c r="A30" s="19" t="s">
        <v>45</v>
      </c>
    </row>
    <row r="31" customFormat="false" ht="32.25" hidden="false" customHeight="true" outlineLevel="0" collapsed="false">
      <c r="A31" s="19" t="s">
        <v>46</v>
      </c>
    </row>
  </sheetData>
  <mergeCells count="4">
    <mergeCell ref="B18:D18"/>
    <mergeCell ref="B21:D21"/>
    <mergeCell ref="A24:D24"/>
    <mergeCell ref="A25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34"/>
  </cols>
  <sheetData>
    <row r="1" customFormat="false" ht="19.5" hidden="false" customHeight="true" outlineLevel="0" collapsed="false">
      <c r="A1" s="2" t="s">
        <v>47</v>
      </c>
    </row>
    <row r="2" customFormat="false" ht="15" hidden="false" customHeight="true" outlineLevel="0" collapsed="false">
      <c r="A2" s="3" t="s">
        <v>48</v>
      </c>
    </row>
    <row r="4" customFormat="false" ht="15" hidden="false" customHeight="true" outlineLevel="0" collapsed="false">
      <c r="A4" s="11" t="s">
        <v>49</v>
      </c>
      <c r="B4" s="12"/>
      <c r="C4" s="12"/>
      <c r="D4" s="12"/>
      <c r="E4" s="12"/>
    </row>
    <row r="5" customFormat="false" ht="15" hidden="false" customHeight="true" outlineLevel="0" collapsed="false">
      <c r="B5" s="4" t="s">
        <v>50</v>
      </c>
      <c r="C5" s="4" t="s">
        <v>51</v>
      </c>
      <c r="D5" s="4" t="s">
        <v>52</v>
      </c>
      <c r="E5" s="4" t="s">
        <v>53</v>
      </c>
    </row>
    <row r="6" customFormat="false" ht="15" hidden="false" customHeight="true" outlineLevel="0" collapsed="false">
      <c r="A6" s="1" t="s">
        <v>28</v>
      </c>
      <c r="B6" s="9"/>
      <c r="C6" s="20" t="s">
        <v>54</v>
      </c>
    </row>
    <row r="7" customFormat="false" ht="15" hidden="false" customHeight="true" outlineLevel="0" collapsed="false">
      <c r="A7" s="1" t="s">
        <v>55</v>
      </c>
      <c r="B7" s="9"/>
    </row>
    <row r="8" customFormat="false" ht="15" hidden="false" customHeight="true" outlineLevel="0" collapsed="false">
      <c r="A8" s="1" t="s">
        <v>29</v>
      </c>
      <c r="B8" s="21"/>
      <c r="C8" s="20" t="s">
        <v>56</v>
      </c>
    </row>
    <row r="9" customFormat="false" ht="15" hidden="false" customHeight="true" outlineLevel="0" collapsed="false">
      <c r="A9" s="1" t="s">
        <v>31</v>
      </c>
      <c r="B9" s="21"/>
      <c r="C9" s="9"/>
      <c r="D9" s="22" t="n">
        <f aca="true">TODAY()</f>
        <v>46256</v>
      </c>
      <c r="E9" s="9"/>
    </row>
    <row r="10" customFormat="false" ht="15" hidden="false" customHeight="true" outlineLevel="0" collapsed="false">
      <c r="A10" s="1" t="s">
        <v>57</v>
      </c>
      <c r="B10" s="9"/>
      <c r="C10" s="20" t="s">
        <v>58</v>
      </c>
    </row>
    <row r="12" customFormat="false" ht="15" hidden="false" customHeight="true" outlineLevel="0" collapsed="false">
      <c r="A12" s="11" t="s">
        <v>59</v>
      </c>
      <c r="B12" s="12"/>
      <c r="C12" s="12"/>
      <c r="D12" s="12"/>
      <c r="E12" s="12"/>
    </row>
    <row r="13" customFormat="false" ht="15" hidden="false" customHeight="true" outlineLevel="0" collapsed="false">
      <c r="B13" s="4" t="s">
        <v>50</v>
      </c>
      <c r="C13" s="4" t="s">
        <v>51</v>
      </c>
      <c r="D13" s="4" t="s">
        <v>52</v>
      </c>
      <c r="E13" s="4" t="s">
        <v>53</v>
      </c>
    </row>
    <row r="14" customFormat="false" ht="15" hidden="false" customHeight="true" outlineLevel="0" collapsed="false">
      <c r="A14" s="1" t="s">
        <v>60</v>
      </c>
      <c r="B14" s="21"/>
      <c r="C14" s="9"/>
      <c r="D14" s="22" t="n">
        <f aca="true">TODAY()</f>
        <v>46256</v>
      </c>
      <c r="E14" s="9"/>
    </row>
    <row r="15" customFormat="false" ht="32.25" hidden="false" customHeight="true" outlineLevel="0" collapsed="false">
      <c r="A15" s="1" t="s">
        <v>61</v>
      </c>
      <c r="B15" s="9"/>
      <c r="C15" s="23" t="s">
        <v>62</v>
      </c>
    </row>
    <row r="16" customFormat="false" ht="15" hidden="false" customHeight="true" outlineLevel="0" collapsed="false">
      <c r="A16" s="1" t="s">
        <v>63</v>
      </c>
      <c r="B16" s="21"/>
      <c r="C16" s="9"/>
      <c r="D16" s="22" t="n">
        <f aca="true">TODAY()</f>
        <v>46256</v>
      </c>
      <c r="E16" s="9"/>
    </row>
    <row r="17" customFormat="false" ht="15" hidden="false" customHeight="true" outlineLevel="0" collapsed="false">
      <c r="A17" s="1" t="s">
        <v>64</v>
      </c>
      <c r="B17" s="9"/>
      <c r="C17" s="9"/>
      <c r="D17" s="22" t="n">
        <f aca="true">TODAY()</f>
        <v>46256</v>
      </c>
      <c r="E17" s="9"/>
    </row>
    <row r="19" customFormat="false" ht="15" hidden="false" customHeight="true" outlineLevel="0" collapsed="false">
      <c r="A19" s="4" t="s">
        <v>65</v>
      </c>
    </row>
    <row r="20" customFormat="false" ht="15" hidden="false" customHeight="true" outlineLevel="0" collapsed="false">
      <c r="A20" s="18" t="s">
        <v>66</v>
      </c>
      <c r="B20" s="18"/>
      <c r="C20" s="18"/>
      <c r="D20" s="18"/>
      <c r="E20" s="18"/>
    </row>
    <row r="22" customFormat="false" ht="15" hidden="false" customHeight="true" outlineLevel="0" collapsed="false">
      <c r="A22" s="11" t="s">
        <v>67</v>
      </c>
      <c r="B22" s="12"/>
      <c r="C22" s="12"/>
      <c r="D22" s="12"/>
      <c r="E22" s="12"/>
    </row>
    <row r="24" customFormat="false" ht="15" hidden="false" customHeight="true" outlineLevel="0" collapsed="false">
      <c r="A24" s="1" t="s">
        <v>68</v>
      </c>
      <c r="B24" s="24" t="n">
        <f aca="false">'Rehab Estimate'!C24</f>
        <v>0</v>
      </c>
    </row>
    <row r="25" customFormat="false" ht="15" hidden="false" customHeight="true" outlineLevel="0" collapsed="false">
      <c r="A25" s="1" t="s">
        <v>69</v>
      </c>
      <c r="B25" s="25" t="str">
        <f aca="false">'Rehab Estimate'!B4</f>
        <v>Category-Level Estimate (Pre-Diligence)</v>
      </c>
    </row>
    <row r="27" customFormat="false" ht="15" hidden="false" customHeight="true" outlineLevel="0" collapsed="false">
      <c r="A27" s="11" t="s">
        <v>70</v>
      </c>
      <c r="B27" s="12"/>
      <c r="C27" s="12"/>
      <c r="D27" s="12"/>
      <c r="E27" s="12"/>
    </row>
    <row r="29" customFormat="false" ht="15" hidden="false" customHeight="true" outlineLevel="0" collapsed="false">
      <c r="A29" s="1" t="s">
        <v>71</v>
      </c>
      <c r="B29" s="24" t="n">
        <f aca="false">B16/12</f>
        <v>0</v>
      </c>
    </row>
    <row r="30" customFormat="false" ht="15" hidden="false" customHeight="true" outlineLevel="0" collapsed="false">
      <c r="A30" s="1" t="s">
        <v>72</v>
      </c>
      <c r="B30" s="21"/>
      <c r="C30" s="20" t="s">
        <v>73</v>
      </c>
    </row>
    <row r="31" customFormat="false" ht="15" hidden="false" customHeight="true" outlineLevel="0" collapsed="false">
      <c r="A31" s="1" t="s">
        <v>74</v>
      </c>
      <c r="B31" s="21"/>
      <c r="C31" s="20" t="s">
        <v>73</v>
      </c>
    </row>
    <row r="32" customFormat="false" ht="15" hidden="false" customHeight="true" outlineLevel="0" collapsed="false">
      <c r="A32" s="1" t="s">
        <v>75</v>
      </c>
      <c r="B32" s="21"/>
      <c r="C32" s="20" t="s">
        <v>73</v>
      </c>
    </row>
    <row r="34" customFormat="false" ht="15" hidden="false" customHeight="true" outlineLevel="0" collapsed="false">
      <c r="A34" s="11" t="s">
        <v>76</v>
      </c>
      <c r="B34" s="12"/>
      <c r="C34" s="12"/>
      <c r="D34" s="12"/>
      <c r="E34" s="12"/>
    </row>
    <row r="36" customFormat="false" ht="15" hidden="false" customHeight="true" outlineLevel="0" collapsed="false">
      <c r="A36" s="1" t="s">
        <v>77</v>
      </c>
      <c r="B36" s="9"/>
      <c r="C36" s="20" t="s">
        <v>78</v>
      </c>
    </row>
    <row r="38" customFormat="false" ht="15" hidden="false" customHeight="true" outlineLevel="0" collapsed="false">
      <c r="A38" s="11" t="s">
        <v>79</v>
      </c>
      <c r="B38" s="12"/>
      <c r="C38" s="12"/>
      <c r="D38" s="12"/>
      <c r="E38" s="12"/>
    </row>
    <row r="40" customFormat="false" ht="15" hidden="false" customHeight="true" outlineLevel="0" collapsed="false">
      <c r="A40" s="1" t="s">
        <v>80</v>
      </c>
      <c r="B40" s="24" t="n">
        <f aca="false">B9</f>
        <v>0</v>
      </c>
    </row>
    <row r="41" customFormat="false" ht="15" hidden="false" customHeight="true" outlineLevel="0" collapsed="false">
      <c r="A41" s="1" t="s">
        <v>81</v>
      </c>
      <c r="B41" s="26"/>
    </row>
    <row r="42" customFormat="false" ht="15" hidden="false" customHeight="true" outlineLevel="0" collapsed="false">
      <c r="A42" s="1" t="s">
        <v>82</v>
      </c>
      <c r="B42" s="26"/>
    </row>
    <row r="44" customFormat="false" ht="15" hidden="false" customHeight="true" outlineLevel="0" collapsed="false">
      <c r="A44" s="11" t="s">
        <v>83</v>
      </c>
      <c r="B44" s="12"/>
      <c r="C44" s="12"/>
      <c r="D44" s="12"/>
      <c r="E44" s="12"/>
    </row>
    <row r="46" customFormat="false" ht="15" hidden="false" customHeight="true" outlineLevel="0" collapsed="false">
      <c r="A46" s="1" t="s">
        <v>84</v>
      </c>
      <c r="B46" s="21"/>
    </row>
    <row r="47" customFormat="false" ht="15" hidden="false" customHeight="true" outlineLevel="0" collapsed="false">
      <c r="A47" s="1" t="s">
        <v>85</v>
      </c>
      <c r="B47" s="26"/>
    </row>
    <row r="49" customFormat="false" ht="15" hidden="false" customHeight="true" outlineLevel="0" collapsed="false">
      <c r="A49" s="11" t="s">
        <v>86</v>
      </c>
      <c r="B49" s="12"/>
      <c r="C49" s="12"/>
      <c r="D49" s="12"/>
      <c r="E49" s="12"/>
    </row>
    <row r="50" customFormat="false" ht="15" hidden="false" customHeight="true" outlineLevel="0" collapsed="false">
      <c r="A50" s="18" t="s">
        <v>87</v>
      </c>
      <c r="B50" s="18"/>
      <c r="C50" s="18"/>
      <c r="D50" s="18"/>
      <c r="E50" s="18"/>
    </row>
    <row r="51" customFormat="false" ht="15" hidden="false" customHeight="true" outlineLevel="0" collapsed="false">
      <c r="A51" s="18"/>
      <c r="B51" s="18"/>
      <c r="C51" s="18"/>
      <c r="D51" s="18"/>
      <c r="E51" s="18"/>
    </row>
    <row r="53" customFormat="false" ht="15" hidden="false" customHeight="true" outlineLevel="0" collapsed="false">
      <c r="A53" s="1" t="s">
        <v>88</v>
      </c>
      <c r="B53" s="9"/>
      <c r="C53" s="27" t="s">
        <v>89</v>
      </c>
    </row>
    <row r="54" customFormat="false" ht="15" hidden="false" customHeight="true" outlineLevel="0" collapsed="false">
      <c r="B54" s="4" t="s">
        <v>50</v>
      </c>
      <c r="C54" s="4" t="s">
        <v>51</v>
      </c>
    </row>
    <row r="55" customFormat="false" ht="15" hidden="false" customHeight="true" outlineLevel="0" collapsed="false">
      <c r="A55" s="1" t="s">
        <v>90</v>
      </c>
      <c r="B55" s="9"/>
      <c r="C55" s="9"/>
    </row>
    <row r="56" customFormat="false" ht="15" hidden="false" customHeight="true" outlineLevel="0" collapsed="false">
      <c r="A56" s="1" t="s">
        <v>91</v>
      </c>
      <c r="B56" s="9"/>
      <c r="C56" s="9"/>
    </row>
    <row r="57" customFormat="false" ht="15" hidden="false" customHeight="true" outlineLevel="0" collapsed="false">
      <c r="A57" s="1" t="s">
        <v>92</v>
      </c>
      <c r="B57" s="9"/>
    </row>
  </sheetData>
  <mergeCells count="2">
    <mergeCell ref="A20:E20"/>
    <mergeCell ref="A50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4" customFormat="false" ht="15" hidden="false" customHeight="true" outlineLevel="0" collapsed="false">
      <c r="A4" s="28" t="s">
        <v>95</v>
      </c>
      <c r="B4" s="29" t="s">
        <v>96</v>
      </c>
      <c r="C4" s="29"/>
      <c r="D4" s="29"/>
    </row>
    <row r="5" customFormat="false" ht="21.75" hidden="false" customHeight="true" outlineLevel="0" collapsed="false">
      <c r="A5" s="18" t="s">
        <v>97</v>
      </c>
      <c r="B5" s="18"/>
      <c r="C5" s="18"/>
      <c r="D5" s="18"/>
    </row>
    <row r="7" customFormat="false" ht="15" hidden="false" customHeight="true" outlineLevel="0" collapsed="false">
      <c r="A7" s="11" t="s">
        <v>98</v>
      </c>
      <c r="B7" s="12"/>
      <c r="C7" s="12"/>
      <c r="D7" s="12"/>
    </row>
    <row r="9" customFormat="false" ht="15" hidden="false" customHeight="true" outlineLevel="0" collapsed="false">
      <c r="A9" s="1" t="s">
        <v>99</v>
      </c>
      <c r="B9" s="4" t="s">
        <v>100</v>
      </c>
      <c r="C9" s="4" t="s">
        <v>101</v>
      </c>
    </row>
    <row r="10" customFormat="false" ht="15" hidden="false" customHeight="true" outlineLevel="0" collapsed="false">
      <c r="A10" s="1" t="s">
        <v>102</v>
      </c>
      <c r="B10" s="21"/>
      <c r="C10" s="20" t="s">
        <v>103</v>
      </c>
    </row>
    <row r="11" customFormat="false" ht="15" hidden="false" customHeight="true" outlineLevel="0" collapsed="false">
      <c r="A11" s="1" t="s">
        <v>104</v>
      </c>
      <c r="B11" s="21"/>
      <c r="C11" s="20" t="s">
        <v>103</v>
      </c>
    </row>
    <row r="12" customFormat="false" ht="15" hidden="false" customHeight="true" outlineLevel="0" collapsed="false">
      <c r="A12" s="1" t="s">
        <v>105</v>
      </c>
      <c r="B12" s="21"/>
      <c r="C12" s="20" t="s">
        <v>103</v>
      </c>
    </row>
    <row r="13" customFormat="false" ht="15" hidden="false" customHeight="true" outlineLevel="0" collapsed="false">
      <c r="A13" s="1" t="s">
        <v>106</v>
      </c>
      <c r="B13" s="21"/>
      <c r="C13" s="20" t="s">
        <v>103</v>
      </c>
    </row>
    <row r="14" customFormat="false" ht="15" hidden="false" customHeight="true" outlineLevel="0" collapsed="false">
      <c r="A14" s="1" t="s">
        <v>107</v>
      </c>
      <c r="B14" s="21"/>
      <c r="C14" s="20" t="s">
        <v>103</v>
      </c>
    </row>
    <row r="15" customFormat="false" ht="15" hidden="false" customHeight="true" outlineLevel="0" collapsed="false">
      <c r="A15" s="1" t="s">
        <v>108</v>
      </c>
      <c r="B15" s="21"/>
      <c r="C15" s="20" t="s">
        <v>103</v>
      </c>
    </row>
    <row r="19" customFormat="false" ht="15" hidden="false" customHeight="true" outlineLevel="0" collapsed="false">
      <c r="A19" s="11" t="s">
        <v>109</v>
      </c>
      <c r="B19" s="12"/>
      <c r="C19" s="12"/>
      <c r="D19" s="12"/>
    </row>
    <row r="21" customFormat="false" ht="15" hidden="false" customHeight="true" outlineLevel="0" collapsed="false">
      <c r="A21" s="1" t="s">
        <v>110</v>
      </c>
      <c r="B21" s="9"/>
    </row>
    <row r="22" customFormat="false" ht="15" hidden="false" customHeight="true" outlineLevel="0" collapsed="false">
      <c r="A22" s="1" t="s">
        <v>111</v>
      </c>
      <c r="B22" s="9"/>
    </row>
    <row r="23" customFormat="false" ht="32.25" hidden="false" customHeight="true" outlineLevel="0" collapsed="false">
      <c r="A23" s="1" t="s">
        <v>112</v>
      </c>
      <c r="B23" s="9"/>
      <c r="C23" s="24" t="n">
        <f aca="false">B21*B23</f>
        <v>0</v>
      </c>
      <c r="D23" s="19" t="s">
        <v>113</v>
      </c>
    </row>
    <row r="24" customFormat="false" ht="15" hidden="false" customHeight="true" outlineLevel="0" collapsed="false">
      <c r="A24" s="4" t="s">
        <v>114</v>
      </c>
      <c r="C24" s="24" t="n">
        <f aca="false">SUM(B10:B15)</f>
        <v>0</v>
      </c>
    </row>
    <row r="27" customFormat="false" ht="15" hidden="false" customHeight="true" outlineLevel="0" collapsed="false">
      <c r="A27" s="11" t="s">
        <v>115</v>
      </c>
      <c r="B27" s="12"/>
      <c r="C27" s="12"/>
      <c r="D27" s="12"/>
    </row>
    <row r="28" customFormat="false" ht="15" hidden="false" customHeight="true" outlineLevel="0" collapsed="false">
      <c r="A28" s="18" t="s">
        <v>116</v>
      </c>
      <c r="B28" s="18"/>
      <c r="C28" s="18"/>
      <c r="D28" s="18"/>
    </row>
    <row r="29" customFormat="false" ht="15" hidden="false" customHeight="true" outlineLevel="0" collapsed="false">
      <c r="A29" s="18"/>
      <c r="B29" s="18"/>
      <c r="C29" s="18"/>
      <c r="D29" s="18"/>
    </row>
    <row r="31" customFormat="false" ht="15" hidden="false" customHeight="true" outlineLevel="0" collapsed="false">
      <c r="A31" s="1" t="s">
        <v>117</v>
      </c>
      <c r="B31" s="9"/>
    </row>
    <row r="32" customFormat="false" ht="23.25" hidden="false" customHeight="true" outlineLevel="0" collapsed="false">
      <c r="A32" s="1" t="s">
        <v>118</v>
      </c>
      <c r="B32" s="30"/>
    </row>
    <row r="33" customFormat="false" ht="15" hidden="false" customHeight="true" outlineLevel="0" collapsed="false">
      <c r="A33" s="18" t="s">
        <v>119</v>
      </c>
      <c r="B33" s="18"/>
      <c r="C33" s="18"/>
      <c r="D33" s="18"/>
    </row>
    <row r="34" customFormat="false" ht="15" hidden="false" customHeight="true" outlineLevel="0" collapsed="false">
      <c r="A34" s="1" t="s">
        <v>120</v>
      </c>
      <c r="B34" s="25" t="str">
        <f aca="true">IF(ISNUMBER(B31),YEAR(TODAY())-B31,"n/a")</f>
        <v>n/a</v>
      </c>
    </row>
    <row r="36" customFormat="false" ht="15" hidden="false" customHeight="true" outlineLevel="0" collapsed="false">
      <c r="A36" s="11" t="s">
        <v>121</v>
      </c>
      <c r="B36" s="12"/>
      <c r="C36" s="12"/>
      <c r="D36" s="12"/>
    </row>
    <row r="38" customFormat="false" ht="15" hidden="false" customHeight="true" outlineLevel="0" collapsed="false">
      <c r="A38" s="1" t="s">
        <v>122</v>
      </c>
      <c r="B38" s="6" t="s">
        <v>123</v>
      </c>
    </row>
    <row r="39" customFormat="false" ht="15" hidden="false" customHeight="true" outlineLevel="0" collapsed="false">
      <c r="A39" s="1" t="s">
        <v>124</v>
      </c>
      <c r="B39" s="6" t="s">
        <v>125</v>
      </c>
    </row>
    <row r="40" customFormat="false" ht="15" hidden="false" customHeight="true" outlineLevel="0" collapsed="false">
      <c r="A40" s="1" t="s">
        <v>126</v>
      </c>
      <c r="B40" s="6" t="s">
        <v>127</v>
      </c>
    </row>
    <row r="42" customFormat="false" ht="15" hidden="false" customHeight="true" outlineLevel="0" collapsed="false">
      <c r="A42" s="1" t="s">
        <v>128</v>
      </c>
      <c r="B42" s="31" t="str">
        <f aca="false">IF(NOT(ISNUMBER(B31)),"UNKNOWN — no documented update found; treat major systems as original/end-of-life until proven otherwise",IF(B34&gt;=25,"HIGH — years since update exceeds typical roof lifespan; assume major systems at/past end of life",IF(B34&gt;=15,"MODERATE — likely at or near HVAC end of life; verify roof/systems condition","LOWER — within typical component lifespans, but confirm during walkthrough")))</f>
        <v>UNKNOWN — no documented update found; treat major systems as original/end-of-life until proven otherwise</v>
      </c>
      <c r="C42" s="31"/>
      <c r="D42" s="31"/>
    </row>
    <row r="43" customFormat="false" ht="15" hidden="false" customHeight="true" outlineLevel="0" collapsed="false">
      <c r="B43" s="31"/>
      <c r="C43" s="31"/>
      <c r="D43" s="31"/>
    </row>
  </sheetData>
  <mergeCells count="5">
    <mergeCell ref="B4:D4"/>
    <mergeCell ref="A5:D5"/>
    <mergeCell ref="A28:D29"/>
    <mergeCell ref="A33:D33"/>
    <mergeCell ref="B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34"/>
  </cols>
  <sheetData>
    <row r="1" customFormat="false" ht="19.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4" customFormat="false" ht="15" hidden="false" customHeight="true" outlineLevel="0" collapsed="false">
      <c r="A4" s="11" t="s">
        <v>131</v>
      </c>
      <c r="B4" s="12"/>
      <c r="C4" s="12"/>
      <c r="D4" s="12"/>
      <c r="E4" s="12"/>
      <c r="F4" s="12"/>
    </row>
    <row r="6" customFormat="false" ht="15" hidden="false" customHeight="true" outlineLevel="0" collapsed="false">
      <c r="A6" s="4" t="s">
        <v>51</v>
      </c>
      <c r="B6" s="4" t="s">
        <v>132</v>
      </c>
      <c r="C6" s="4" t="s">
        <v>133</v>
      </c>
      <c r="D6" s="4" t="s">
        <v>52</v>
      </c>
      <c r="E6" s="4" t="s">
        <v>134</v>
      </c>
      <c r="F6" s="4" t="s">
        <v>135</v>
      </c>
    </row>
    <row r="7" customFormat="false" ht="15" hidden="false" customHeight="true" outlineLevel="0" collapsed="false">
      <c r="A7" s="9"/>
      <c r="B7" s="9"/>
      <c r="C7" s="9"/>
      <c r="D7" s="22" t="n">
        <f aca="true">TODAY()</f>
        <v>46256</v>
      </c>
      <c r="E7" s="9" t="s">
        <v>136</v>
      </c>
      <c r="F7" s="9"/>
    </row>
    <row r="8" customFormat="false" ht="15" hidden="false" customHeight="true" outlineLevel="0" collapsed="false">
      <c r="A8" s="9"/>
      <c r="B8" s="9"/>
      <c r="C8" s="9"/>
      <c r="D8" s="22" t="n">
        <f aca="true">TODAY()</f>
        <v>46256</v>
      </c>
      <c r="E8" s="9" t="s">
        <v>137</v>
      </c>
      <c r="F8" s="9"/>
    </row>
    <row r="9" customFormat="false" ht="15" hidden="false" customHeight="true" outlineLevel="0" collapsed="false">
      <c r="A9" s="9"/>
      <c r="B9" s="9"/>
      <c r="C9" s="9"/>
      <c r="D9" s="22" t="n">
        <f aca="true">TODAY()</f>
        <v>46256</v>
      </c>
      <c r="E9" s="9" t="s">
        <v>138</v>
      </c>
      <c r="F9" s="9"/>
    </row>
    <row r="10" customFormat="false" ht="15" hidden="false" customHeight="true" outlineLevel="0" collapsed="false">
      <c r="A10" s="9"/>
      <c r="B10" s="9"/>
      <c r="C10" s="9"/>
      <c r="D10" s="22" t="n">
        <f aca="true">TODAY()</f>
        <v>46256</v>
      </c>
      <c r="E10" s="9" t="s">
        <v>139</v>
      </c>
      <c r="F10" s="9"/>
    </row>
    <row r="11" customFormat="false" ht="15" hidden="false" customHeight="true" outlineLevel="0" collapsed="false">
      <c r="A11" s="9"/>
      <c r="B11" s="9"/>
      <c r="C11" s="9"/>
      <c r="D11" s="22" t="n">
        <f aca="true">TODAY()</f>
        <v>46256</v>
      </c>
      <c r="E11" s="9"/>
      <c r="F11" s="9"/>
    </row>
    <row r="13" customFormat="false" ht="15" hidden="false" customHeight="true" outlineLevel="0" collapsed="false">
      <c r="A13" s="18" t="s">
        <v>140</v>
      </c>
      <c r="B13" s="18"/>
      <c r="C13" s="18"/>
      <c r="D13" s="18"/>
      <c r="E13" s="18"/>
      <c r="F13" s="18"/>
    </row>
    <row r="14" customFormat="false" ht="15" hidden="false" customHeight="true" outlineLevel="0" collapsed="false">
      <c r="A14" s="18"/>
      <c r="B14" s="18"/>
      <c r="C14" s="18"/>
      <c r="D14" s="18"/>
      <c r="E14" s="18"/>
      <c r="F14" s="18"/>
    </row>
    <row r="16" customFormat="false" ht="15" hidden="false" customHeight="true" outlineLevel="0" collapsed="false">
      <c r="A16" s="18" t="s">
        <v>141</v>
      </c>
      <c r="B16" s="18"/>
      <c r="C16" s="18"/>
      <c r="D16" s="18"/>
      <c r="E16" s="18"/>
      <c r="F16" s="18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</sheetData>
  <mergeCells count="2">
    <mergeCell ref="A13:F14"/>
    <mergeCell ref="A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142</v>
      </c>
    </row>
    <row r="2" customFormat="false" ht="15" hidden="false" customHeight="true" outlineLevel="0" collapsed="false">
      <c r="A2" s="3" t="s">
        <v>143</v>
      </c>
    </row>
    <row r="4" customFormat="false" ht="15" hidden="false" customHeight="true" outlineLevel="0" collapsed="false">
      <c r="A4" s="11" t="s">
        <v>144</v>
      </c>
      <c r="B4" s="12"/>
      <c r="C4" s="12"/>
      <c r="D4" s="12"/>
      <c r="E4" s="12"/>
    </row>
    <row r="6" customFormat="false" ht="15" hidden="false" customHeight="true" outlineLevel="0" collapsed="false">
      <c r="A6" s="1" t="s">
        <v>31</v>
      </c>
      <c r="B6" s="24" t="n">
        <f aca="false">Assumptions!B9</f>
        <v>0</v>
      </c>
    </row>
    <row r="7" customFormat="false" ht="15" hidden="false" customHeight="true" outlineLevel="0" collapsed="false">
      <c r="A7" s="1" t="s">
        <v>145</v>
      </c>
      <c r="B7" s="24" t="n">
        <f aca="false">-'Rehab Estimate'!C24</f>
        <v>-0</v>
      </c>
    </row>
    <row r="8" customFormat="false" ht="15" hidden="false" customHeight="true" outlineLevel="0" collapsed="false">
      <c r="A8" s="1" t="s">
        <v>146</v>
      </c>
      <c r="B8" s="24" t="n">
        <f aca="false">Assumptions!B9*0.7+B7</f>
        <v>0</v>
      </c>
    </row>
    <row r="9" customFormat="false" ht="15" hidden="false" customHeight="true" outlineLevel="0" collapsed="false">
      <c r="A9" s="1" t="s">
        <v>29</v>
      </c>
      <c r="B9" s="24" t="n">
        <f aca="false">Assumptions!B8</f>
        <v>0</v>
      </c>
    </row>
    <row r="10" customFormat="false" ht="15" hidden="false" customHeight="true" outlineLevel="0" collapsed="false">
      <c r="A10" s="1" t="s">
        <v>147</v>
      </c>
      <c r="B10" s="24" t="n">
        <f aca="false">B8-B9</f>
        <v>0</v>
      </c>
    </row>
    <row r="11" customFormat="false" ht="15" hidden="false" customHeight="true" outlineLevel="0" collapsed="false">
      <c r="A11" s="18" t="s">
        <v>148</v>
      </c>
      <c r="B11" s="18"/>
      <c r="C11" s="18"/>
    </row>
    <row r="13" customFormat="false" ht="15" hidden="false" customHeight="true" outlineLevel="0" collapsed="false">
      <c r="A13" s="11" t="s">
        <v>149</v>
      </c>
      <c r="B13" s="12"/>
      <c r="C13" s="12"/>
      <c r="D13" s="12"/>
      <c r="E13" s="12"/>
    </row>
    <row r="15" customFormat="false" ht="15" hidden="false" customHeight="true" outlineLevel="0" collapsed="false">
      <c r="A15" s="1" t="s">
        <v>150</v>
      </c>
      <c r="B15" s="24" t="n">
        <f aca="false">Assumptions!B40</f>
        <v>0</v>
      </c>
    </row>
    <row r="16" customFormat="false" ht="15" hidden="false" customHeight="true" outlineLevel="0" collapsed="false">
      <c r="A16" s="1" t="s">
        <v>151</v>
      </c>
      <c r="B16" s="24" t="n">
        <f aca="false">-Assumptions!B40*(Assumptions!B41+Assumptions!B42)</f>
        <v>-0</v>
      </c>
    </row>
    <row r="17" customFormat="false" ht="15" hidden="false" customHeight="true" outlineLevel="0" collapsed="false">
      <c r="A17" s="1" t="s">
        <v>152</v>
      </c>
      <c r="B17" s="24" t="n">
        <f aca="false">-(Assumptions!B8+'Rehab Estimate'!C24+(Assumptions!B29+Assumptions!B30+Assumptions!B31+Assumptions!B32)*Assumptions!B36)</f>
        <v>-0</v>
      </c>
    </row>
    <row r="18" customFormat="false" ht="15" hidden="false" customHeight="true" outlineLevel="0" collapsed="false">
      <c r="A18" s="4" t="s">
        <v>153</v>
      </c>
      <c r="B18" s="24" t="n">
        <f aca="false">B15+B16+B17</f>
        <v>0</v>
      </c>
    </row>
    <row r="19" customFormat="false" ht="15" hidden="false" customHeight="true" outlineLevel="0" collapsed="false">
      <c r="A19" s="1" t="s">
        <v>40</v>
      </c>
      <c r="B19" s="32" t="n">
        <f aca="false">IFERROR(B18/Assumptions!B9,0)</f>
        <v>0</v>
      </c>
    </row>
    <row r="21" customFormat="false" ht="15" hidden="false" customHeight="true" outlineLevel="0" collapsed="false">
      <c r="A21" s="11" t="s">
        <v>154</v>
      </c>
      <c r="B21" s="12"/>
      <c r="C21" s="12"/>
      <c r="D21" s="12"/>
      <c r="E21" s="12"/>
    </row>
    <row r="22" customFormat="false" ht="15" hidden="false" customHeight="true" outlineLevel="0" collapsed="false">
      <c r="A22" s="1" t="s">
        <v>155</v>
      </c>
      <c r="B22" s="24" t="n">
        <f aca="false">B10</f>
        <v>0</v>
      </c>
    </row>
    <row r="23" customFormat="false" ht="15" hidden="false" customHeight="true" outlineLevel="0" collapsed="false">
      <c r="A23" s="18" t="s">
        <v>156</v>
      </c>
      <c r="B23" s="18"/>
      <c r="C23" s="18"/>
    </row>
    <row r="25" customFormat="false" ht="15" hidden="false" customHeight="true" outlineLevel="0" collapsed="false">
      <c r="A25" s="11" t="s">
        <v>42</v>
      </c>
      <c r="B25" s="12"/>
      <c r="C25" s="12"/>
      <c r="D25" s="12"/>
      <c r="E25" s="12"/>
    </row>
    <row r="27" customFormat="false" ht="15" hidden="false" customHeight="true" outlineLevel="0" collapsed="false">
      <c r="A27" s="4" t="s">
        <v>157</v>
      </c>
      <c r="B27" s="31" t="str">
        <f aca="false">IF(AND(B18&gt;=Assumptions!B46,B19&gt;=Assumptions!B47),"PURSUE — proceed to full Borrower/JV model",IF(B18&gt;0,"MARGINAL — clears $0 but below your thresholds; further diligence optional","PASS — does not clear a profitable spread at these estimates"))</f>
        <v>PURSUE — proceed to full Borrower/JV model</v>
      </c>
      <c r="C27" s="31"/>
    </row>
    <row r="28" customFormat="false" ht="15" hidden="false" customHeight="true" outlineLevel="0" collapsed="false">
      <c r="B28" s="31" t="str">
        <f aca="false">"Quick profit "&amp;TEXT(B18,"$#,##0")&amp;" ("&amp;TEXT(B19,"0.0%")&amp;" of ARV) vs. thresholds of "&amp;TEXT(Assumptions!B46,"$#,##0")&amp;" / "&amp;TEXT(Assumptions!B47,"0.0%")&amp;". Spread vs. asking: "&amp;TEXT(B10,"$#,##0")&amp;"."</f>
        <v>Quick profit $0 (0.0% of ARV) vs. thresholds of $0 / 0.0%. Spread vs. asking: $0.</v>
      </c>
      <c r="C28" s="31"/>
    </row>
    <row r="29" customFormat="false" ht="15" hidden="false" customHeight="true" outlineLevel="0" collapsed="false">
      <c r="B29" s="31"/>
      <c r="C29" s="31"/>
    </row>
    <row r="31" customFormat="false" ht="15" hidden="false" customHeight="true" outlineLevel="0" collapsed="false">
      <c r="A31" s="11" t="s">
        <v>158</v>
      </c>
      <c r="B31" s="12"/>
      <c r="C31" s="12"/>
    </row>
    <row r="33" customFormat="false" ht="15" hidden="false" customHeight="true" outlineLevel="0" collapsed="false">
      <c r="A33" s="1" t="s">
        <v>159</v>
      </c>
      <c r="B33" s="24" t="n">
        <f aca="false">Assumptions!B53*Assumptions!B55</f>
        <v>0</v>
      </c>
    </row>
    <row r="34" customFormat="false" ht="15" hidden="false" customHeight="true" outlineLevel="0" collapsed="false">
      <c r="A34" s="1" t="s">
        <v>160</v>
      </c>
      <c r="B34" s="24" t="n">
        <f aca="false">Assumptions!B53*Assumptions!B56</f>
        <v>0</v>
      </c>
    </row>
    <row r="35" customFormat="false" ht="15" hidden="false" customHeight="true" outlineLevel="0" collapsed="false">
      <c r="A35" s="1" t="s">
        <v>29</v>
      </c>
      <c r="B35" s="24" t="n">
        <f aca="false">B9</f>
        <v>0</v>
      </c>
    </row>
    <row r="36" customFormat="false" ht="15" hidden="false" customHeight="true" outlineLevel="0" collapsed="false">
      <c r="A36" s="1" t="s">
        <v>161</v>
      </c>
      <c r="B36" s="31" t="str">
        <f aca="false">IF(B35&lt;MIN(B33,B34),"UNDER MARKET — asking is below both as-is comp estimates",IF(B35&gt;MAX(B33,B34),"OVER MARKET — asking exceeds both as-is comp estimates","WITHIN RANGE — asking falls between the average- and median-based as-is estimates"))</f>
        <v>WITHIN RANGE — asking falls between the average- and median-based as-is estimates</v>
      </c>
      <c r="C36" s="31"/>
    </row>
    <row r="37" customFormat="false" ht="15" hidden="false" customHeight="true" outlineLevel="0" collapsed="false">
      <c r="B37" s="31"/>
      <c r="C37" s="31"/>
    </row>
  </sheetData>
  <mergeCells count="5">
    <mergeCell ref="A11:C11"/>
    <mergeCell ref="A23:C23"/>
    <mergeCell ref="B27:C27"/>
    <mergeCell ref="B28:C29"/>
    <mergeCell ref="B36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2026-08-20T07:08:39Z</dcterms:created>
  <dc:creator>openpyxl</dc:creator>
  <dc:description/>
  <dc:language>en-US</dc:language>
  <cp:lastModifiedBy/>
  <dcterms:modified xsi:type="dcterms:W3CDTF">2026-08-22T04:52:48Z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