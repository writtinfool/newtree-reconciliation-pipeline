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Deal Screen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Rehab Estimate" sheetId="4" state="visible" r:id="rId4"/>
    <sheet xmlns:r="http://schemas.openxmlformats.org/officeDocument/2006/relationships" name="Source Log" sheetId="5" state="visible" r:id="rId5"/>
    <sheet xmlns:r="http://schemas.openxmlformats.org/officeDocument/2006/relationships" name="Screen Results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mm/dd/yyyy"/>
    <numFmt numFmtId="165" formatCode="\$#,##0;&quot;($&quot;#,##0\);\-"/>
    <numFmt numFmtId="166" formatCode="0.0%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color rgb="FF595959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808080"/>
      <sz val="8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color rgb="FF808080"/>
      <sz val="9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C00000"/>
      <sz val="11"/>
    </font>
    <font>
      <name val="Arial"/>
      <family val="2"/>
      <sz val="10"/>
    </font>
  </fonts>
  <fills count="5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CE4D6"/>
        <bgColor rgb="FFFF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166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5" fontId="10" fillId="2" borderId="0" applyAlignment="1" pivotButton="0" quotePrefix="0" xfId="0">
      <alignment horizontal="general" vertical="bottom"/>
    </xf>
    <xf numFmtId="164" fontId="10" fillId="2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top" wrapText="1"/>
    </xf>
    <xf numFmtId="165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6" fontId="10" fillId="2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6" fillId="4" borderId="0" applyAlignment="1" pivotButton="0" quotePrefix="0" xfId="0">
      <alignment horizontal="general" vertical="bottom"/>
    </xf>
    <xf numFmtId="0" fontId="16" fillId="4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166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166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5" fontId="10" fillId="2" borderId="0" applyAlignment="1" pivotButton="0" quotePrefix="0" xfId="0">
      <alignment horizontal="general" vertical="bottom"/>
    </xf>
    <xf numFmtId="164" fontId="10" fillId="2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top" wrapText="1"/>
    </xf>
    <xf numFmtId="165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6" fontId="10" fillId="2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6" fillId="4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166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Unknown Author</author>
  </authors>
  <commentList>
    <comment ref="B19" authorId="0" shapeId="0">
      <text>
        <t>Guarded with IFERROR (returns 0) so this reads cleanly before ARV/Assumptions are filled in. Added when this template was blanked from the 4134 E 142nd St deal copy on 2026-08-22 -- the original formula (B18/Assumptions!B9) produced #DIV/0! on an empty ARV, which never showed up while the deal data was still in place.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5" customWidth="1" style="33" min="1" max="1"/>
  </cols>
  <sheetData>
    <row r="1" ht="19.5" customHeight="1" s="34">
      <c r="A1" s="35" t="inlineStr">
        <is>
          <t>Fix &amp; Flip Financial Model — Quick Screen Template</t>
        </is>
      </c>
    </row>
    <row r="2" ht="15" customHeight="1" s="34">
      <c r="A2" s="36" t="inlineStr">
        <is>
          <t>Pre-diligence deal screener — before a term sheet, before an itemized rehab budget</t>
        </is>
      </c>
    </row>
    <row r="4" ht="15" customHeight="1" s="34">
      <c r="A4" s="37" t="inlineStr">
        <is>
          <t>WHO THIS IS FOR</t>
        </is>
      </c>
    </row>
    <row r="6" ht="27.75" customHeight="1" s="34">
      <c r="A6" s="38" t="inlineStr">
        <is>
          <t>A fast go/no-go read on a property BEFORE you've requested a lender term sheet or a contractor's itemized bid — the filter that decides whether a deal is worth the time to fully underwrite. Two audiences:</t>
        </is>
      </c>
    </row>
    <row r="7" ht="15" customHeight="1" s="34">
      <c r="A7" s="39" t="inlineStr">
        <is>
          <t xml:space="preserve">  •  You, doing initial deal triage on inbound leads or MLS/off-market finds.</t>
        </is>
      </c>
    </row>
    <row r="8" ht="15" customHeight="1" s="34">
      <c r="A8" s="39" t="inlineStr">
        <is>
          <t xml:space="preserve">  •  Wholesalers, for whom this IS the whole analysis — no lender, no contractor, no itemized budget, ever.</t>
        </is>
      </c>
    </row>
    <row r="10" ht="15" customHeight="1" s="34">
      <c r="A10" s="37" t="inlineStr">
        <is>
          <t>HOW THIS FITS THE TEMPLATE FAMILY</t>
        </is>
      </c>
    </row>
    <row r="12" ht="41.25" customHeight="1" s="34">
      <c r="A12" s="38" t="inlineStr">
        <is>
          <t>Quick Screen  →  Borrower / JV Partner (± Seller Financing)  →  Final client-facing deal analysis. A deal that clears the Quick Screen graduates to a full model once a term sheet and itemized rehab bid exist. Sourced figures (ARV, comps, tax) should carry forward into the fuller model rather than being re-pulled from scratch — see the Source Log tab.</t>
        </is>
      </c>
    </row>
    <row r="14" ht="15" customHeight="1" s="34">
      <c r="A14" s="37" t="inlineStr">
        <is>
          <t>STEP 1 — Assumptions tab</t>
        </is>
      </c>
    </row>
    <row r="15" ht="54.75" customHeight="1" s="34">
      <c r="A15" s="38" t="inlineStr">
        <is>
          <t>Enter the asking/contract price and ARV. Every sourced figure has a Source, Report/Reference, and Date Pulled column — cite the actual Property Profile report, Comps Report, or county assessor record it came from. Trust hierarchy (highest to lowest): County Assessor (verified) &gt; MLS listing data &gt; Comps/skip-trace platform &gt; Property Profile platform.</t>
        </is>
      </c>
    </row>
    <row r="17" ht="15" customHeight="1" s="34">
      <c r="A17" s="37" t="inlineStr">
        <is>
          <t>STEP 2 — Rehab Estimate tab</t>
        </is>
      </c>
    </row>
    <row r="18" ht="41.25" customHeight="1" s="34">
      <c r="A18" s="38" t="inlineStr">
        <is>
          <t>Category-level only — six buckets, not a 50-line contractor bid. Use the optional $/sqft calculator as a sanity check. The Rehab Estimate Stage flag at the top of that tab should always read 'Category-Level Estimate' on this template; a deal that graduates to the Borrower/JV model gets re-flagged 'Itemized (Contractor Confirmed)' there once a real bid exists.</t>
        </is>
      </c>
    </row>
    <row r="20" ht="15" customHeight="1" s="34">
      <c r="A20" s="37" t="inlineStr">
        <is>
          <t>STEP 3 — Source Log tab</t>
        </is>
      </c>
    </row>
    <row r="21" ht="41.25" customHeight="1" s="34">
      <c r="A21" s="38" t="inlineStr">
        <is>
          <t>Log every report pulled (Property Profile report, Comps Report, county assessor record) with source, date, and a file reference. This is what lets a client trace any number in the Deal Screen tab back to a named, dated source document — keep the actual exported PDFs/CSVs alongside this workbook.</t>
        </is>
      </c>
    </row>
    <row r="23" ht="15" customHeight="1" s="34">
      <c r="A23" s="37" t="inlineStr">
        <is>
          <t>STEP 4 — Review Deal Screen tab</t>
        </is>
      </c>
    </row>
    <row r="24" ht="27.75" customHeight="1" s="34">
      <c r="A24" s="38" t="inlineStr">
        <is>
          <t>Everything downstream (MAO, spread, quick profit estimate, verdict) calculates automatically. Adjust the Minimum Acceptable Profit / Margin thresholds on the Assumptions tab to fit the specific deal or buyer.</t>
        </is>
      </c>
    </row>
    <row r="26" ht="15" customHeight="1" s="34">
      <c r="A26" s="37" t="inlineStr">
        <is>
          <t>WHAT THIS TEMPLATE DELIBERATELY LEAVES OUT</t>
        </is>
      </c>
    </row>
    <row r="27" ht="27.75" customHeight="1" s="34">
      <c r="A27" s="38" t="inlineStr">
        <is>
          <t>No loan terms, no monthly cash flow, no JV waterfall, no itemized rehab. Those require a term sheet and a contractor bid, which by definition don't exist yet at this stage. Use the Borrower or JV Partner template once they do.</t>
        </is>
      </c>
    </row>
    <row r="29" ht="15" customHeight="1" s="34">
      <c r="A29" s="37" t="inlineStr">
        <is>
          <t>A NOTE ON LENDERS</t>
        </is>
      </c>
    </row>
    <row r="30" ht="41.25" customHeight="1" s="34">
      <c r="A30" s="38" t="inlineStr">
        <is>
          <t>This stage is lender-agnostic by design — no financing tab exists yet to name one. Once a deal graduates, the Borrower/JV model's Lender field takes whichever of your lender relationships actually issues the term sheet; nothing here should assume a specific lender.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3" min="1" max="1"/>
    <col width="20" customWidth="1" style="33" min="2" max="2"/>
    <col width="42" customWidth="1" style="33" min="3" max="3"/>
    <col width="20" customWidth="1" style="33" min="4" max="4"/>
  </cols>
  <sheetData>
    <row r="1" ht="19.5" customHeight="1" s="34">
      <c r="A1" s="35" t="inlineStr">
        <is>
          <t>Quick Screen (Pre-Diligence) — Deal Read</t>
        </is>
      </c>
    </row>
    <row r="2" ht="15" customHeight="1" s="34">
      <c r="A2" s="36" t="inlineStr">
        <is>
          <t>4134 E 142nd St, Cleveland, OH 44128  |  Quick Screen (Pre-Diligence Stage)</t>
        </is>
      </c>
    </row>
    <row r="4" ht="15" customHeight="1" s="34">
      <c r="A4" s="39" t="inlineStr">
        <is>
          <t>Prepared:</t>
        </is>
      </c>
      <c r="B4" s="40">
        <f>TODAY()</f>
        <v/>
      </c>
      <c r="C4" s="39" t="inlineStr">
        <is>
          <t>Stage:</t>
        </is>
      </c>
      <c r="D4" s="41">
        <f>'Rehab Estimate'!B4</f>
        <v/>
      </c>
    </row>
    <row r="5" ht="15" customHeight="1" s="34">
      <c r="A5" s="39" t="inlineStr">
        <is>
          <t>Prepared For:</t>
        </is>
      </c>
      <c r="B5" s="42" t="inlineStr">
        <is>
          <t>[Client / Wholesaler Name]</t>
        </is>
      </c>
      <c r="C5" s="43" t="inlineStr">
        <is>
          <t>e.g. "Prepared for Jane Smith at her request" if this is a wholesaler-commissioned marketing copy</t>
        </is>
      </c>
    </row>
    <row r="6" ht="15" customHeight="1" s="34">
      <c r="A6" s="44" t="inlineStr">
        <is>
          <t>PROPERTY &amp; DEAL OVERVIEW</t>
        </is>
      </c>
      <c r="B6" s="45" t="n"/>
      <c r="C6" s="45" t="n"/>
      <c r="D6" s="45" t="n"/>
    </row>
    <row r="8" ht="15" customHeight="1" s="34">
      <c r="A8" s="33" t="inlineStr">
        <is>
          <t>Property Address</t>
        </is>
      </c>
      <c r="B8" s="41">
        <f>Assumptions!B6</f>
        <v/>
      </c>
    </row>
    <row r="9" ht="15" customHeight="1" s="34">
      <c r="A9" s="33" t="inlineStr">
        <is>
          <t>Asking / Contract Price</t>
        </is>
      </c>
      <c r="B9" s="46">
        <f>Assumptions!B8</f>
        <v/>
      </c>
      <c r="C9" s="33" t="inlineStr">
        <is>
          <t>ARV Source</t>
        </is>
      </c>
      <c r="D9" s="41">
        <f>Assumptions!C9</f>
        <v/>
      </c>
    </row>
    <row r="10" ht="15" customHeight="1" s="34">
      <c r="A10" s="33" t="inlineStr">
        <is>
          <t>ARV Estimate</t>
        </is>
      </c>
      <c r="B10" s="46">
        <f>Assumptions!B9</f>
        <v/>
      </c>
      <c r="C10" s="33" t="inlineStr">
        <is>
          <t>Tax Source</t>
        </is>
      </c>
      <c r="D10" s="41">
        <f>Assumptions!C16</f>
        <v/>
      </c>
    </row>
    <row r="11" ht="15" customHeight="1" s="34">
      <c r="A11" s="33" t="inlineStr">
        <is>
          <t>Rehab Estimate (category-level)</t>
        </is>
      </c>
      <c r="B11" s="46">
        <f>'Rehab Estimate'!C24</f>
        <v/>
      </c>
    </row>
    <row r="13" ht="15" customHeight="1" s="34">
      <c r="A13" s="44" t="inlineStr">
        <is>
          <t>QUICK SCREEN RESULTS</t>
        </is>
      </c>
      <c r="B13" s="45" t="n"/>
      <c r="C13" s="45" t="n"/>
      <c r="D13" s="45" t="n"/>
    </row>
    <row r="15" ht="15" customHeight="1" s="34">
      <c r="A15" s="33" t="inlineStr">
        <is>
          <t>70% Rule Max Allowable Offer (MAO)</t>
        </is>
      </c>
      <c r="B15" s="46">
        <f>'Screen Results'!B8</f>
        <v/>
      </c>
    </row>
    <row r="16" ht="15" customHeight="1" s="34">
      <c r="A16" s="33" t="inlineStr">
        <is>
          <t>Spread vs. Asking / Contract Price</t>
        </is>
      </c>
      <c r="B16" s="46">
        <f>'Screen Results'!B10</f>
        <v/>
      </c>
    </row>
    <row r="17" ht="15" customHeight="1" s="34">
      <c r="A17" s="33" t="inlineStr">
        <is>
          <t>Wholesale Assignment Fee Potential</t>
        </is>
      </c>
      <c r="B17" s="46">
        <f>'Screen Results'!B22</f>
        <v/>
      </c>
    </row>
    <row r="18" ht="15" customHeight="1" s="34">
      <c r="A18" s="39" t="inlineStr">
        <is>
          <t>As-Is Market Position (asking vs. current-condition comps)</t>
        </is>
      </c>
      <c r="B18" s="47">
        <f>'Screen Results'!B36</f>
        <v/>
      </c>
    </row>
    <row r="19" ht="15" customHeight="1" s="34">
      <c r="A19" s="33" t="inlineStr">
        <is>
          <t>Quick Gross Profit Estimate</t>
        </is>
      </c>
      <c r="B19" s="46">
        <f>'Screen Results'!B18</f>
        <v/>
      </c>
    </row>
    <row r="20" ht="15" customHeight="1" s="34">
      <c r="A20" s="33" t="inlineStr">
        <is>
          <t>Quick Margin (% of ARV)</t>
        </is>
      </c>
      <c r="B20" s="48">
        <f>'Screen Results'!B19</f>
        <v/>
      </c>
    </row>
    <row r="21" ht="23.25" customHeight="1" s="34">
      <c r="A21" s="33" t="inlineStr">
        <is>
          <t>Rehab-Risk Flag (deferred maintenance)</t>
        </is>
      </c>
      <c r="B21" s="49">
        <f>'Rehab Estimate'!B42</f>
        <v/>
      </c>
    </row>
    <row r="22" ht="15" customHeight="1" s="34">
      <c r="A22" s="44" t="inlineStr">
        <is>
          <t>VERDICT</t>
        </is>
      </c>
      <c r="B22" s="45" t="n"/>
      <c r="C22" s="45" t="n"/>
      <c r="D22" s="45" t="n"/>
    </row>
    <row r="24" ht="17.25" customHeight="1" s="34">
      <c r="A24" s="50">
        <f>'Screen Results'!B27</f>
        <v/>
      </c>
    </row>
    <row r="25" ht="15" customHeight="1" s="34">
      <c r="A25" s="51">
        <f>'Screen Results'!B28</f>
        <v/>
      </c>
    </row>
    <row r="26" ht="15" customHeight="1" s="34"/>
    <row r="28" ht="15" customHeight="1" s="34">
      <c r="A28" s="37" t="inlineStr">
        <is>
          <t>NOTES</t>
        </is>
      </c>
    </row>
    <row r="29" ht="32.25" customHeight="1" s="34">
      <c r="A29" s="51" t="inlineStr">
        <is>
          <t>•  TEMPLATE — replace all example figures with the actual deal and cite every sourced figure on the Assumptions tab.</t>
        </is>
      </c>
    </row>
    <row r="30" ht="32.25" customHeight="1" s="34">
      <c r="A30" s="51" t="inlineStr">
        <is>
          <t>•  Pre-diligence screen only — no loan terms, no itemized rehab, no waterfall. Not a commitment to lend, an appraisal, or a guarantee of return.</t>
        </is>
      </c>
    </row>
    <row r="31" ht="32.25" customHeight="1" s="34">
      <c r="A31" s="51" t="inlineStr">
        <is>
          <t>•  A deal that clears this screen should graduate to the Borrower or JV Partner template once a term sheet and itemized rehab bid exist.</t>
        </is>
      </c>
    </row>
  </sheetData>
  <mergeCells count="4">
    <mergeCell ref="B18:D18"/>
    <mergeCell ref="B21:D21"/>
    <mergeCell ref="A24:D24"/>
    <mergeCell ref="A25:D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3" min="1" max="1"/>
    <col width="16" customWidth="1" style="33" min="2" max="2"/>
    <col width="24" customWidth="1" style="33" min="3" max="3"/>
    <col width="16" customWidth="1" style="33" min="4" max="4"/>
    <col width="34" customWidth="1" style="33" min="5" max="5"/>
  </cols>
  <sheetData>
    <row r="1" ht="19.5" customHeight="1" s="34">
      <c r="A1" s="35" t="inlineStr">
        <is>
          <t>Assumptions &amp; Inputs — Quick Screen</t>
        </is>
      </c>
    </row>
    <row r="2" ht="15" customHeight="1" s="34">
      <c r="A2" s="36" t="inlineStr">
        <is>
          <t>Blue/yellow = enter actual figures. Every sourced field cites Source / Report / Date Pulled.</t>
        </is>
      </c>
    </row>
    <row r="4" ht="15" customHeight="1" s="34">
      <c r="A4" s="44" t="inlineStr">
        <is>
          <t>ACQUISITION</t>
        </is>
      </c>
      <c r="B4" s="45" t="n"/>
      <c r="C4" s="45" t="n"/>
      <c r="D4" s="45" t="n"/>
      <c r="E4" s="45" t="n"/>
    </row>
    <row r="5" ht="15" customHeight="1" s="34">
      <c r="B5" s="37" t="inlineStr">
        <is>
          <t>Value</t>
        </is>
      </c>
      <c r="C5" s="37" t="inlineStr">
        <is>
          <t>Source</t>
        </is>
      </c>
      <c r="D5" s="37" t="inlineStr">
        <is>
          <t>Date Pulled</t>
        </is>
      </c>
      <c r="E5" s="37" t="inlineStr">
        <is>
          <t>Report / Reference</t>
        </is>
      </c>
    </row>
    <row r="6" ht="15" customHeight="1" s="34">
      <c r="A6" s="33" t="inlineStr">
        <is>
          <t>Property Address</t>
        </is>
      </c>
      <c r="B6" s="42" t="n"/>
      <c r="C6" s="52" t="inlineStr">
        <is>
          <t>MLS / Client</t>
        </is>
      </c>
    </row>
    <row r="7" ht="15" customHeight="1" s="34">
      <c r="A7" s="33" t="inlineStr">
        <is>
          <t>County / Jurisdiction</t>
        </is>
      </c>
      <c r="B7" s="42" t="n"/>
    </row>
    <row r="8" ht="15" customHeight="1" s="34">
      <c r="A8" s="33" t="inlineStr">
        <is>
          <t>Asking / Contract Price</t>
        </is>
      </c>
      <c r="B8" s="53" t="n"/>
      <c r="C8" s="52" t="inlineStr">
        <is>
          <t>MLS #442988814 (active listing, Pete Cymbal / TimberVine Group), pulled via the comps platform</t>
        </is>
      </c>
    </row>
    <row r="9" ht="15" customHeight="1" s="34">
      <c r="A9" s="33" t="inlineStr">
        <is>
          <t>ARV Estimate</t>
        </is>
      </c>
      <c r="B9" s="53" t="n"/>
      <c r="C9" s="42" t="n"/>
      <c r="D9" s="54">
        <f>TODAY()</f>
        <v/>
      </c>
      <c r="E9" s="42" t="n"/>
    </row>
    <row r="10" ht="15" customHeight="1" s="34">
      <c r="A10" s="33" t="inlineStr">
        <is>
          <t>Comps Used (count)</t>
        </is>
      </c>
      <c r="B10" s="42" t="n"/>
      <c r="C10" s="52" t="inlineStr">
        <is>
          <t>Full comp set pulled; all 11 "Flipped"-tagged comps individually verified via transaction-pair method (complete)</t>
        </is>
      </c>
    </row>
    <row r="12" ht="15" customHeight="1" s="34">
      <c r="A12" s="44" t="inlineStr">
        <is>
          <t>PROPERTY DATA (SOURCED — see Source Log tab)</t>
        </is>
      </c>
      <c r="B12" s="45" t="n"/>
      <c r="C12" s="45" t="n"/>
      <c r="D12" s="45" t="n"/>
      <c r="E12" s="45" t="n"/>
    </row>
    <row r="13" ht="15" customHeight="1" s="34">
      <c r="B13" s="37" t="inlineStr">
        <is>
          <t>Value</t>
        </is>
      </c>
      <c r="C13" s="37" t="inlineStr">
        <is>
          <t>Source</t>
        </is>
      </c>
      <c r="D13" s="37" t="inlineStr">
        <is>
          <t>Date Pulled</t>
        </is>
      </c>
      <c r="E13" s="37" t="inlineStr">
        <is>
          <t>Report / Reference</t>
        </is>
      </c>
    </row>
    <row r="14" ht="15" customHeight="1" s="34">
      <c r="A14" s="33" t="inlineStr">
        <is>
          <t>As-Is Value (assessor/appraisal)</t>
        </is>
      </c>
      <c r="B14" s="53" t="n"/>
      <c r="C14" s="42" t="n"/>
      <c r="D14" s="54">
        <f>TODAY()</f>
        <v/>
      </c>
      <c r="E14" s="42" t="n"/>
    </row>
    <row r="15" ht="32.25" customHeight="1" s="34">
      <c r="A15" s="33" t="inlineStr">
        <is>
          <t>Beds / Baths / Sq Ft</t>
        </is>
      </c>
      <c r="B15" s="42" t="n"/>
      <c r="C15" s="55" t="inlineStr">
        <is>
          <t>Cross-check Property Profile source vs. Assessor — known to mislabel prior-owner data</t>
        </is>
      </c>
    </row>
    <row r="16" ht="15" customHeight="1" s="34">
      <c r="A16" s="33" t="inlineStr">
        <is>
          <t>Annual Property Tax</t>
        </is>
      </c>
      <c r="B16" s="53" t="n"/>
      <c r="C16" s="42" t="n"/>
      <c r="D16" s="54">
        <f>TODAY()</f>
        <v/>
      </c>
      <c r="E16" s="42" t="n"/>
    </row>
    <row r="17" ht="15" customHeight="1" s="34">
      <c r="A17" s="33" t="inlineStr">
        <is>
          <t>Current Owner / Debt Stack Notes</t>
        </is>
      </c>
      <c r="B17" s="42" t="n"/>
      <c r="C17" s="42" t="n"/>
      <c r="D17" s="54">
        <f>TODAY()</f>
        <v/>
      </c>
      <c r="E17" s="42" t="n"/>
    </row>
    <row r="19" ht="15" customHeight="1" s="34">
      <c r="A19" s="37" t="inlineStr">
        <is>
          <t>Trust hierarchy (highest to lowest):</t>
        </is>
      </c>
    </row>
    <row r="20" ht="15" customHeight="1" s="34">
      <c r="A20" s="51" t="inlineStr">
        <is>
          <t>County Assessor (verified) &gt; MLS listing data &gt; Comps/skip-trace platform &gt; Property Profile platform.</t>
        </is>
      </c>
    </row>
    <row r="22" ht="15" customHeight="1" s="34">
      <c r="A22" s="44" t="inlineStr">
        <is>
          <t>REHAB ESTIMATE</t>
        </is>
      </c>
      <c r="B22" s="45" t="n"/>
      <c r="C22" s="45" t="n"/>
      <c r="D22" s="45" t="n"/>
      <c r="E22" s="45" t="n"/>
    </row>
    <row r="24" ht="15" customHeight="1" s="34">
      <c r="A24" s="33" t="inlineStr">
        <is>
          <t>Total Rehab Estimate (category-level — see Rehab Estimate tab)</t>
        </is>
      </c>
      <c r="B24" s="56">
        <f>'Rehab Estimate'!C24</f>
        <v/>
      </c>
    </row>
    <row r="25" ht="15" customHeight="1" s="34">
      <c r="A25" s="33" t="inlineStr">
        <is>
          <t>Rehab Estimate Stage</t>
        </is>
      </c>
      <c r="B25" s="57">
        <f>'Rehab Estimate'!B4</f>
        <v/>
      </c>
    </row>
    <row r="27" ht="15" customHeight="1" s="34">
      <c r="A27" s="44" t="inlineStr">
        <is>
          <t>HOLDING COST ESTIMATE (rough — not a lender reserve)</t>
        </is>
      </c>
      <c r="B27" s="45" t="n"/>
      <c r="C27" s="45" t="n"/>
      <c r="D27" s="45" t="n"/>
      <c r="E27" s="45" t="n"/>
    </row>
    <row r="29" ht="15" customHeight="1" s="34">
      <c r="A29" s="33" t="inlineStr">
        <is>
          <t>Property Tax (monthly, from annual above)</t>
        </is>
      </c>
      <c r="B29" s="56">
        <f>B16/12</f>
        <v/>
      </c>
    </row>
    <row r="30" ht="15" customHeight="1" s="34">
      <c r="A30" s="33" t="inlineStr">
        <is>
          <t>Insurance (monthly, est.)</t>
        </is>
      </c>
      <c r="B30" s="53" t="n"/>
      <c r="C30" s="52" t="inlineStr">
        <is>
          <t>PLACEHOLDER — not sourced</t>
        </is>
      </c>
    </row>
    <row r="31" ht="15" customHeight="1" s="34">
      <c r="A31" s="33" t="inlineStr">
        <is>
          <t>Utilities (monthly, est. — vacant/rehab)</t>
        </is>
      </c>
      <c r="B31" s="53" t="n"/>
      <c r="C31" s="52" t="inlineStr">
        <is>
          <t>PLACEHOLDER — not sourced</t>
        </is>
      </c>
    </row>
    <row r="32" ht="15" customHeight="1" s="34">
      <c r="A32" s="33" t="inlineStr">
        <is>
          <t>HOA Dues (monthly)</t>
        </is>
      </c>
      <c r="B32" s="53" t="n"/>
      <c r="C32" s="52" t="inlineStr">
        <is>
          <t>PLACEHOLDER — not sourced</t>
        </is>
      </c>
    </row>
    <row r="34" ht="15" customHeight="1" s="34">
      <c r="A34" s="44" t="inlineStr">
        <is>
          <t>PROJECTED TIMELINE</t>
        </is>
      </c>
      <c r="B34" s="45" t="n"/>
      <c r="C34" s="45" t="n"/>
      <c r="D34" s="45" t="n"/>
      <c r="E34" s="45" t="n"/>
    </row>
    <row r="36" ht="15" customHeight="1" s="34">
      <c r="A36" s="33" t="inlineStr">
        <is>
          <t>Estimated Hold Period (months, rough)</t>
        </is>
      </c>
      <c r="B36" s="42" t="n"/>
      <c r="C36" s="52" t="inlineStr">
        <is>
          <t>Rehab + marketing/closing, ballpark for this stage</t>
        </is>
      </c>
    </row>
    <row r="38" ht="15" customHeight="1" s="34">
      <c r="A38" s="44" t="inlineStr">
        <is>
          <t>PROJECTED DISPOSITION</t>
        </is>
      </c>
      <c r="B38" s="45" t="n"/>
      <c r="C38" s="45" t="n"/>
      <c r="D38" s="45" t="n"/>
      <c r="E38" s="45" t="n"/>
    </row>
    <row r="40" ht="15" customHeight="1" s="34">
      <c r="A40" s="33" t="inlineStr">
        <is>
          <t>Target Sale Price</t>
        </is>
      </c>
      <c r="B40" s="56">
        <f>B9</f>
        <v/>
      </c>
    </row>
    <row r="41" ht="15" customHeight="1" s="34">
      <c r="A41" s="33" t="inlineStr">
        <is>
          <t>Selling Commission (% of sale price)</t>
        </is>
      </c>
      <c r="B41" s="58" t="n"/>
    </row>
    <row r="42" ht="15" customHeight="1" s="34">
      <c r="A42" s="33" t="inlineStr">
        <is>
          <t>Selling Closing Costs (% of sale price)</t>
        </is>
      </c>
      <c r="B42" s="58" t="n"/>
    </row>
    <row r="44" ht="15" customHeight="1" s="34">
      <c r="A44" s="44" t="inlineStr">
        <is>
          <t>SCREEN THRESHOLDS (verdict cutoffs — adjust per buyer/deal)</t>
        </is>
      </c>
      <c r="B44" s="45" t="n"/>
      <c r="C44" s="45" t="n"/>
      <c r="D44" s="45" t="n"/>
      <c r="E44" s="45" t="n"/>
    </row>
    <row r="46" ht="15" customHeight="1" s="34">
      <c r="A46" s="33" t="inlineStr">
        <is>
          <t>Minimum Acceptable Profit ($)</t>
        </is>
      </c>
      <c r="B46" s="53" t="n"/>
    </row>
    <row r="47" ht="15" customHeight="1" s="34">
      <c r="A47" s="33" t="inlineStr">
        <is>
          <t>Minimum Acceptable Margin (% of ARV)</t>
        </is>
      </c>
      <c r="B47" s="58" t="n"/>
    </row>
    <row r="49" ht="15" customHeight="1" s="34">
      <c r="A49" s="44" t="inlineStr">
        <is>
          <t>AS-IS MARKET CHECK (Rule 5 — is the asking price fair for current condition, before rehab?)</t>
        </is>
      </c>
      <c r="B49" s="45" t="n"/>
      <c r="C49" s="45" t="n"/>
      <c r="D49" s="45" t="n"/>
      <c r="E49" s="45" t="n"/>
    </row>
    <row r="50" ht="15" customHeight="1" s="34">
      <c r="A50" s="51" t="inlineStr">
        <is>
          <t>Pull non-flipped comps from the same comp set already gathered for ARV (no separate pull) — no "Flipped" tag, no confirmed transaction-pair renovation. This checks whether you're paying above or below as-is market, independent of the ARV question.</t>
        </is>
      </c>
    </row>
    <row r="51" ht="15" customHeight="1" s="34"/>
    <row r="53" ht="15" customHeight="1" s="34">
      <c r="A53" s="33" t="inlineStr">
        <is>
          <t>Subject Square Footage</t>
        </is>
      </c>
      <c r="B53" s="42" t="n"/>
      <c r="C53" s="59" t="inlineStr">
        <is>
          <t>From Beds/Baths/Sqft field above — kept numeric here for calculation</t>
        </is>
      </c>
    </row>
    <row r="54" ht="15" customHeight="1" s="34">
      <c r="B54" s="37" t="inlineStr">
        <is>
          <t>Value</t>
        </is>
      </c>
      <c r="C54" s="37" t="inlineStr">
        <is>
          <t>Source</t>
        </is>
      </c>
    </row>
    <row r="55" ht="15" customHeight="1" s="34">
      <c r="A55" s="33" t="inlineStr">
        <is>
          <t>As-Is Comp $/Sqft — Average</t>
        </is>
      </c>
      <c r="B55" s="42" t="n"/>
      <c r="C55" s="42" t="n"/>
    </row>
    <row r="56" ht="15" customHeight="1" s="34">
      <c r="A56" s="33" t="inlineStr">
        <is>
          <t>As-Is Comp $/Sqft — Median</t>
        </is>
      </c>
      <c r="B56" s="42" t="n"/>
      <c r="C56" s="42" t="n"/>
    </row>
    <row r="57" ht="15" customHeight="1" s="34">
      <c r="A57" s="33" t="inlineStr">
        <is>
          <t>Non-Flipped Comp Count</t>
        </is>
      </c>
      <c r="B57" s="42" t="n"/>
    </row>
  </sheetData>
  <mergeCells count="2">
    <mergeCell ref="A50:E51"/>
    <mergeCell ref="A20:E2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3" min="1" max="1"/>
    <col width="18" customWidth="1" style="33" min="2" max="2"/>
    <col width="40" customWidth="1" style="33" min="3" max="3"/>
    <col width="18" customWidth="1" style="33" min="4" max="4"/>
  </cols>
  <sheetData>
    <row r="1" ht="19.5" customHeight="1" s="34">
      <c r="A1" s="35" t="inlineStr">
        <is>
          <t>Rehab Estimate — Category-Level</t>
        </is>
      </c>
    </row>
    <row r="2" ht="15" customHeight="1" s="34">
      <c r="A2" s="36" t="inlineStr">
        <is>
          <t>Six buckets, NOT an itemized contractor bid — replace category totals as diligence progresses</t>
        </is>
      </c>
    </row>
    <row r="4" ht="15" customHeight="1" s="34">
      <c r="A4" s="60" t="inlineStr">
        <is>
          <t>REHAB ESTIMATE STAGE:</t>
        </is>
      </c>
      <c r="B4" s="60" t="inlineStr">
        <is>
          <t>Category-Level Estimate (Pre-Diligence)</t>
        </is>
      </c>
    </row>
    <row r="5" ht="21.75" customHeight="1" s="34">
      <c r="A5" s="51" t="inlineStr">
        <is>
          <t>This flag should read "Itemized (Contractor Confirmed)" only once a real contractor bid replaces these category totals — that happens on the Borrower/JV Partner template, not here.</t>
        </is>
      </c>
    </row>
    <row r="7" ht="15" customHeight="1" s="34">
      <c r="A7" s="44" t="inlineStr">
        <is>
          <t>CATEGORY-LEVEL ESTIMATE (enter directly, or use the calculator below as a sanity check)</t>
        </is>
      </c>
      <c r="B7" s="45" t="n"/>
      <c r="C7" s="45" t="n"/>
      <c r="D7" s="45" t="n"/>
    </row>
    <row r="9" ht="15" customHeight="1" s="34">
      <c r="A9" s="33" t="inlineStr">
        <is>
          <t>Category</t>
        </is>
      </c>
      <c r="B9" s="37" t="inlineStr">
        <is>
          <t>Estimated Cost</t>
        </is>
      </c>
      <c r="C9" s="37" t="inlineStr">
        <is>
          <t>Basis / Notes</t>
        </is>
      </c>
    </row>
    <row r="10" ht="15" customHeight="1" s="34">
      <c r="A10" s="33" t="inlineStr">
        <is>
          <t>Exterior</t>
        </is>
      </c>
      <c r="B10" s="53" t="n"/>
      <c r="C10" s="52" t="inlineStr">
        <is>
          <t>PLACEHOLDER — visual/drive-by estimate, not a bid</t>
        </is>
      </c>
    </row>
    <row r="11" ht="15" customHeight="1" s="34">
      <c r="A11" s="33" t="inlineStr">
        <is>
          <t>Interior / Structural</t>
        </is>
      </c>
      <c r="B11" s="53" t="n"/>
      <c r="C11" s="52" t="inlineStr">
        <is>
          <t>PLACEHOLDER — visual/drive-by estimate, not a bid</t>
        </is>
      </c>
    </row>
    <row r="12" ht="15" customHeight="1" s="34">
      <c r="A12" s="33" t="inlineStr">
        <is>
          <t>Kitchen</t>
        </is>
      </c>
      <c r="B12" s="53" t="n"/>
      <c r="C12" s="52" t="inlineStr">
        <is>
          <t>PLACEHOLDER — visual/drive-by estimate, not a bid</t>
        </is>
      </c>
    </row>
    <row r="13" ht="15" customHeight="1" s="34">
      <c r="A13" s="33" t="inlineStr">
        <is>
          <t>Bathroom(s)</t>
        </is>
      </c>
      <c r="B13" s="53" t="n"/>
      <c r="C13" s="52" t="inlineStr">
        <is>
          <t>PLACEHOLDER — visual/drive-by estimate, not a bid</t>
        </is>
      </c>
    </row>
    <row r="14" ht="15" customHeight="1" s="34">
      <c r="A14" s="33" t="inlineStr">
        <is>
          <t>Systems (Elec / HVAC / Plumbing)</t>
        </is>
      </c>
      <c r="B14" s="53" t="n"/>
      <c r="C14" s="52" t="inlineStr">
        <is>
          <t>PLACEHOLDER — visual/drive-by estimate, not a bid</t>
        </is>
      </c>
    </row>
    <row r="15" ht="15" customHeight="1" s="34">
      <c r="A15" s="33" t="inlineStr">
        <is>
          <t>Admin / Contingency (~10%)</t>
        </is>
      </c>
      <c r="B15" s="53" t="n"/>
      <c r="C15" s="52" t="inlineStr">
        <is>
          <t>PLACEHOLDER — visual/drive-by estimate, not a bid</t>
        </is>
      </c>
    </row>
    <row r="19" ht="15" customHeight="1" s="34">
      <c r="A19" s="44" t="inlineStr">
        <is>
          <t>OPTIONAL — $/SQFT SANITY-CHECK CALCULATOR</t>
        </is>
      </c>
      <c r="B19" s="45" t="n"/>
      <c r="C19" s="45" t="n"/>
      <c r="D19" s="45" t="n"/>
    </row>
    <row r="21" ht="15" customHeight="1" s="34">
      <c r="A21" s="33" t="inlineStr">
        <is>
          <t>Square Footage</t>
        </is>
      </c>
      <c r="B21" s="42" t="n"/>
    </row>
    <row r="22" ht="15" customHeight="1" s="34">
      <c r="A22" s="33" t="inlineStr">
        <is>
          <t>Rehab Tier (Light $15-25/sf, Medium $25-40/sf, Heavy $40-65/sf)</t>
        </is>
      </c>
      <c r="B22" s="42" t="n"/>
    </row>
    <row r="23" ht="32.25" customHeight="1" s="34">
      <c r="A23" s="33" t="inlineStr">
        <is>
          <t>Assumed $/Sqft for Tier</t>
        </is>
      </c>
      <c r="B23" s="42" t="n"/>
      <c r="C23" s="56">
        <f>B21*B23</f>
        <v/>
      </c>
      <c r="D23" s="51" t="inlineStr">
        <is>
          <t>&lt;- suggested total; compare against category sum above</t>
        </is>
      </c>
    </row>
    <row r="24" ht="15" customHeight="1" s="34">
      <c r="A24" s="37" t="inlineStr">
        <is>
          <t>TOTAL REHAB ESTIMATE (feeds Assumptions &amp; Deal Screen)</t>
        </is>
      </c>
      <c r="C24" s="56">
        <f>SUM(B10:B15)</f>
        <v/>
      </c>
    </row>
    <row r="27" ht="15" customHeight="1" s="34">
      <c r="A27" s="44" t="inlineStr">
        <is>
          <t>DEFERRED MAINTENANCE / COMPONENT AGE SIGNAL</t>
        </is>
      </c>
      <c r="B27" s="45" t="n"/>
      <c r="C27" s="45" t="n"/>
      <c r="D27" s="45" t="n"/>
    </row>
    <row r="28" ht="15" customHeight="1" s="34">
      <c r="A28" s="51" t="inlineStr">
        <is>
          <t>Separate from ARV — this estimates how much of the property's major-system lifespan is used up, as a rehab-risk check. A confirmed transaction-pair renovation (real purchase-then-resale price jump) is the strongest source; an assessed-value jump or MLS listing history are weaker but usable. Sale recency alone is NOT evidence of a recent update — a property can change owners without any work being done.</t>
        </is>
      </c>
    </row>
    <row r="29" ht="15" customHeight="1" s="34"/>
    <row r="31" ht="15" customHeight="1" s="34">
      <c r="A31" s="33" t="inlineStr">
        <is>
          <t>Last Documented Update — Year</t>
        </is>
      </c>
      <c r="B31" s="42" t="n"/>
    </row>
    <row r="32" ht="23.25" customHeight="1" s="34">
      <c r="A32" s="33" t="inlineStr">
        <is>
          <t>Signal Source</t>
        </is>
      </c>
      <c r="B32" s="61" t="n"/>
    </row>
    <row r="33" ht="15" customHeight="1" s="34">
      <c r="A33" s="51" t="inlineStr">
        <is>
          <t>Options: Confirmed renovation (transaction-pair) / Assessed-value jump / MLS listing history / None found — treat as original</t>
        </is>
      </c>
    </row>
    <row r="34" ht="15" customHeight="1" s="34">
      <c r="A34" s="33" t="inlineStr">
        <is>
          <t>Years Since Last Documented Update</t>
        </is>
      </c>
      <c r="B34" s="57">
        <f>IF(ISNUMBER(B31),YEAR(TODAY())-B31,"n/a")</f>
        <v/>
      </c>
    </row>
    <row r="36" ht="15" customHeight="1" s="34">
      <c r="A36" s="44" t="inlineStr">
        <is>
          <t>TYPICAL COMPONENT LIFESPANS (reference — not deal-specific)</t>
        </is>
      </c>
      <c r="B36" s="45" t="n"/>
      <c r="C36" s="45" t="n"/>
      <c r="D36" s="45" t="n"/>
    </row>
    <row r="38" ht="15" customHeight="1" s="34">
      <c r="A38" s="33" t="inlineStr">
        <is>
          <t>Roof</t>
        </is>
      </c>
      <c r="B38" s="39" t="inlineStr">
        <is>
          <t>20-25 yrs</t>
        </is>
      </c>
    </row>
    <row r="39" ht="15" customHeight="1" s="34">
      <c r="A39" s="33" t="inlineStr">
        <is>
          <t>HVAC</t>
        </is>
      </c>
      <c r="B39" s="39" t="inlineStr">
        <is>
          <t>15-20 yrs</t>
        </is>
      </c>
    </row>
    <row r="40" ht="15" customHeight="1" s="34">
      <c r="A40" s="33" t="inlineStr">
        <is>
          <t>Plumbing / Electrical</t>
        </is>
      </c>
      <c r="B40" s="39" t="inlineStr">
        <is>
          <t>Often original in pre-1960s stock unless documented otherwise</t>
        </is>
      </c>
    </row>
    <row r="42" ht="15" customHeight="1" s="34">
      <c r="A42" s="33" t="inlineStr">
        <is>
          <t>Rehab-Risk Flag</t>
        </is>
      </c>
      <c r="B42" s="62">
        <f>IF(NOT(ISNUMBER(B31)),"UNKNOWN — no documented update found; treat major systems as original/end-of-life until proven otherwise",IF(B34&gt;=25,"HIGH — years since update exceeds typical roof lifespan; assume major systems at/past end of life",IF(B34&gt;=15,"MODERATE — likely at or near HVAC end of life; verify roof/systems condition","LOWER — within typical component lifespans, but confirm during walkthrough")))</f>
        <v/>
      </c>
    </row>
    <row r="43" ht="15" customHeight="1" s="34"/>
  </sheetData>
  <mergeCells count="5">
    <mergeCell ref="A5:D5"/>
    <mergeCell ref="B42:D43"/>
    <mergeCell ref="B4:D4"/>
    <mergeCell ref="A28:D29"/>
    <mergeCell ref="A33:D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3" min="1" max="1"/>
    <col width="26" customWidth="1" style="33" min="2" max="2"/>
    <col width="28" customWidth="1" style="33" min="3" max="3"/>
    <col width="16" customWidth="1" style="33" min="4" max="4"/>
    <col width="30" customWidth="1" style="33" min="5" max="5"/>
    <col width="34" customWidth="1" style="33" min="6" max="6"/>
  </cols>
  <sheetData>
    <row r="1" ht="19.5" customHeight="1" s="34">
      <c r="A1" s="35" t="inlineStr">
        <is>
          <t>Source Log — Citations</t>
        </is>
      </c>
    </row>
    <row r="2" ht="15" customHeight="1" s="34">
      <c r="A2" s="36" t="inlineStr">
        <is>
          <t>Every pulled report, logged so any figure in this workbook traces back to a named, dated source</t>
        </is>
      </c>
    </row>
    <row r="4" ht="15" customHeight="1" s="34">
      <c r="A4" s="44" t="inlineStr">
        <is>
          <t>SOURCE LOG</t>
        </is>
      </c>
      <c r="B4" s="45" t="n"/>
      <c r="C4" s="45" t="n"/>
      <c r="D4" s="45" t="n"/>
      <c r="E4" s="45" t="n"/>
      <c r="F4" s="45" t="n"/>
    </row>
    <row r="6" ht="15" customHeight="1" s="34">
      <c r="A6" s="37" t="inlineStr">
        <is>
          <t>Source</t>
        </is>
      </c>
      <c r="B6" s="37" t="inlineStr">
        <is>
          <t>Report Type</t>
        </is>
      </c>
      <c r="C6" s="37" t="inlineStr">
        <is>
          <t>Field(s) Sourced</t>
        </is>
      </c>
      <c r="D6" s="37" t="inlineStr">
        <is>
          <t>Date Pulled</t>
        </is>
      </c>
      <c r="E6" s="37" t="inlineStr">
        <is>
          <t>File / Reference</t>
        </is>
      </c>
      <c r="F6" s="37" t="inlineStr">
        <is>
          <t>Notes</t>
        </is>
      </c>
    </row>
    <row r="7" ht="15" customHeight="1" s="34">
      <c r="A7" s="42" t="n"/>
      <c r="B7" s="42" t="n"/>
      <c r="C7" s="42" t="n"/>
      <c r="D7" s="54">
        <f>TODAY()</f>
        <v/>
      </c>
      <c r="E7" s="42" t="inlineStr">
        <is>
          <t>[Parcel # / record link]</t>
        </is>
      </c>
      <c r="F7" s="42" t="n"/>
    </row>
    <row r="8" ht="15" customHeight="1" s="34">
      <c r="A8" s="42" t="n"/>
      <c r="B8" s="42" t="n"/>
      <c r="C8" s="42" t="n"/>
      <c r="D8" s="54">
        <f>TODAY()</f>
        <v/>
      </c>
      <c r="E8" s="42" t="inlineStr">
        <is>
          <t>[lpp-export- filename or report PDF name]</t>
        </is>
      </c>
      <c r="F8" s="42" t="n"/>
    </row>
    <row r="9" ht="15" customHeight="1" s="34">
      <c r="A9" s="42" t="n"/>
      <c r="B9" s="42" t="n"/>
      <c r="C9" s="42" t="n"/>
      <c r="D9" s="54">
        <f>TODAY()</f>
        <v/>
      </c>
      <c r="E9" s="42" t="inlineStr">
        <is>
          <t>[lpp-export- CSV filename]</t>
        </is>
      </c>
      <c r="F9" s="42" t="n"/>
    </row>
    <row r="10" ht="15" customHeight="1" s="34">
      <c r="A10" s="42" t="n"/>
      <c r="B10" s="42" t="n"/>
      <c r="C10" s="42" t="n"/>
      <c r="D10" s="54">
        <f>TODAY()</f>
        <v/>
      </c>
      <c r="E10" s="42" t="inlineStr">
        <is>
          <t>[Property Profile report name / order #]</t>
        </is>
      </c>
      <c r="F10" s="42" t="n"/>
    </row>
    <row r="11" ht="15" customHeight="1" s="34">
      <c r="A11" s="42" t="n"/>
      <c r="B11" s="42" t="n"/>
      <c r="C11" s="42" t="n"/>
      <c r="D11" s="54">
        <f>TODAY()</f>
        <v/>
      </c>
      <c r="E11" s="42" t="n"/>
      <c r="F11" s="42" t="n"/>
    </row>
    <row r="13" ht="15" customHeight="1" s="34">
      <c r="A13" s="51" t="inlineStr">
        <is>
          <t>Trust hierarchy (highest to lowest): County Assessor (verified) &gt; MLS listing data &gt; Comps/skip-trace platform &gt; Property Profile platform. Flag conflicts between sources rather than silently picking one.</t>
        </is>
      </c>
    </row>
    <row r="14" ht="15" customHeight="1" s="34"/>
    <row r="16" ht="15" customHeight="1" s="34">
      <c r="A16" s="51" t="inlineStr">
        <is>
          <t>Keep the actual exported PDFs/CSVs alongside this workbook — this log is the index, not a substitute for the source documents themselves.</t>
        </is>
      </c>
    </row>
    <row r="17" ht="15" customHeight="1" s="34"/>
  </sheetData>
  <mergeCells count="2">
    <mergeCell ref="A13:F14"/>
    <mergeCell ref="A16:F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3" min="1" max="1"/>
    <col width="18" customWidth="1" style="33" min="2" max="2"/>
    <col width="50" customWidth="1" style="33" min="3" max="3"/>
  </cols>
  <sheetData>
    <row r="1" ht="19.5" customHeight="1" s="34">
      <c r="A1" s="35" t="inlineStr">
        <is>
          <t>Screen Results — 70% Rule, Spread &amp; Verdict</t>
        </is>
      </c>
    </row>
    <row r="2" ht="15" customHeight="1" s="34">
      <c r="A2" s="36" t="inlineStr">
        <is>
          <t>All formulas — nothing entered directly on this tab</t>
        </is>
      </c>
    </row>
    <row r="4" ht="15" customHeight="1" s="34">
      <c r="A4" s="44" t="inlineStr">
        <is>
          <t>70% RULE — MAXIMUM ALLOWABLE OFFER</t>
        </is>
      </c>
      <c r="B4" s="45" t="n"/>
      <c r="C4" s="45" t="n"/>
      <c r="D4" s="45" t="n"/>
      <c r="E4" s="45" t="n"/>
    </row>
    <row r="6" ht="15" customHeight="1" s="34">
      <c r="A6" s="33" t="inlineStr">
        <is>
          <t>ARV Estimate</t>
        </is>
      </c>
      <c r="B6" s="56">
        <f>Assumptions!B9</f>
        <v/>
      </c>
    </row>
    <row r="7" ht="15" customHeight="1" s="34">
      <c r="A7" s="33" t="inlineStr">
        <is>
          <t>Less: Rehab Estimate</t>
        </is>
      </c>
      <c r="B7" s="56">
        <f>-'Rehab Estimate'!C24</f>
        <v/>
      </c>
    </row>
    <row r="8" ht="15" customHeight="1" s="34">
      <c r="A8" s="33" t="inlineStr">
        <is>
          <t>MAO (70% x ARV − Rehab Estimate)</t>
        </is>
      </c>
      <c r="B8" s="56">
        <f>Assumptions!B9*0.7+B7</f>
        <v/>
      </c>
    </row>
    <row r="9" ht="15" customHeight="1" s="34">
      <c r="A9" s="33" t="inlineStr">
        <is>
          <t>Asking / Contract Price</t>
        </is>
      </c>
      <c r="B9" s="56">
        <f>Assumptions!B8</f>
        <v/>
      </c>
    </row>
    <row r="10" ht="15" customHeight="1" s="34">
      <c r="A10" s="33" t="inlineStr">
        <is>
          <t>Spread (MAO − Asking/Contract Price)</t>
        </is>
      </c>
      <c r="B10" s="56">
        <f>B8-B9</f>
        <v/>
      </c>
    </row>
    <row r="11" ht="15" customHeight="1" s="34">
      <c r="A11" s="51" t="inlineStr">
        <is>
          <t>Positive = room under the 70% ceiling. Negative = asking price exceeds the MAO at this rehab estimate.</t>
        </is>
      </c>
    </row>
    <row r="13" ht="15" customHeight="1" s="34">
      <c r="A13" s="44" t="inlineStr">
        <is>
          <t>QUICK GROSS PROFIT ESTIMATE (no financing costs — pre-term-sheet)</t>
        </is>
      </c>
      <c r="B13" s="45" t="n"/>
      <c r="C13" s="45" t="n"/>
      <c r="D13" s="45" t="n"/>
      <c r="E13" s="45" t="n"/>
    </row>
    <row r="15" ht="15" customHeight="1" s="34">
      <c r="A15" s="33" t="inlineStr">
        <is>
          <t>Target Sale Price (= ARV)</t>
        </is>
      </c>
      <c r="B15" s="56">
        <f>Assumptions!B40</f>
        <v/>
      </c>
    </row>
    <row r="16" ht="15" customHeight="1" s="34">
      <c r="A16" s="33" t="inlineStr">
        <is>
          <t>Less: Selling Commission + Closing Costs</t>
        </is>
      </c>
      <c r="B16" s="56">
        <f>-Assumptions!B40*(Assumptions!B41+Assumptions!B42)</f>
        <v/>
      </c>
    </row>
    <row r="17" ht="15" customHeight="1" s="34">
      <c r="A17" s="33" t="inlineStr">
        <is>
          <t>Less: Purchase Price, Rehab Estimate &amp; Holding Cost Estimate</t>
        </is>
      </c>
      <c r="B17" s="56">
        <f>-(Assumptions!B8+'Rehab Estimate'!C24+(Assumptions!B29+Assumptions!B30+Assumptions!B31+Assumptions!B32)*Assumptions!B36)</f>
        <v/>
      </c>
    </row>
    <row r="18" ht="15" customHeight="1" s="34">
      <c r="A18" s="37" t="inlineStr">
        <is>
          <t>QUICK GROSS PROFIT ESTIMATE</t>
        </is>
      </c>
      <c r="B18" s="56">
        <f>B15+B16+B17</f>
        <v/>
      </c>
    </row>
    <row r="19" ht="15" customHeight="1" s="34">
      <c r="A19" s="33" t="inlineStr">
        <is>
          <t>Quick Margin (% of ARV)</t>
        </is>
      </c>
      <c r="B19" s="63">
        <f>IFERROR(B18/Assumptions!B9,0)</f>
        <v/>
      </c>
    </row>
    <row r="21" ht="15" customHeight="1" s="34">
      <c r="A21" s="44" t="inlineStr">
        <is>
          <t>WHOLESALE VIEW</t>
        </is>
      </c>
      <c r="B21" s="45" t="n"/>
      <c r="C21" s="45" t="n"/>
      <c r="D21" s="45" t="n"/>
      <c r="E21" s="45" t="n"/>
    </row>
    <row r="22" ht="15" customHeight="1" s="34">
      <c r="A22" s="33" t="inlineStr">
        <is>
          <t>Assignment Fee Potential (MAO − Contract Price)</t>
        </is>
      </c>
      <c r="B22" s="56">
        <f>B10</f>
        <v/>
      </c>
    </row>
    <row r="23" ht="15" customHeight="1" s="34">
      <c r="A23" s="51" t="inlineStr">
        <is>
          <t>Same figure as Spread above — framed as room to assign to a cash buyer at or under the 70% ceiling.</t>
        </is>
      </c>
    </row>
    <row r="25" ht="15" customHeight="1" s="34">
      <c r="A25" s="44" t="inlineStr">
        <is>
          <t>VERDICT</t>
        </is>
      </c>
      <c r="B25" s="45" t="n"/>
      <c r="C25" s="45" t="n"/>
      <c r="D25" s="45" t="n"/>
      <c r="E25" s="45" t="n"/>
    </row>
    <row r="27" ht="15" customHeight="1" s="34">
      <c r="A27" s="37" t="inlineStr">
        <is>
          <t>Verdict</t>
        </is>
      </c>
      <c r="B27" s="62">
        <f>IF(AND(B18&gt;=Assumptions!B46,B19&gt;=Assumptions!B47),"PURSUE — proceed to full Borrower/JV model",IF(B18&gt;0,"MARGINAL — clears $0 but below your thresholds; further diligence optional","PASS — does not clear a profitable spread at these estimates"))</f>
        <v/>
      </c>
    </row>
    <row r="28" ht="15" customHeight="1" s="34">
      <c r="B28" s="62">
        <f>"Quick profit "&amp;TEXT(B18,"$#,##0")&amp;" ("&amp;TEXT(B19,"0.0%")&amp;" of ARV) vs. thresholds of "&amp;TEXT(Assumptions!B46,"$#,##0")&amp;" / "&amp;TEXT(Assumptions!B47,"0.0%")&amp;". Spread vs. asking: "&amp;TEXT(B10,"$#,##0")&amp;"."</f>
        <v/>
      </c>
    </row>
    <row r="29" ht="15" customHeight="1" s="34"/>
    <row r="31" ht="15" customHeight="1" s="34">
      <c r="A31" s="44" t="inlineStr">
        <is>
          <t>AS-IS MARKET CHECK (Rule 5 — asking price vs. current-condition comps)</t>
        </is>
      </c>
      <c r="B31" s="45" t="n"/>
      <c r="C31" s="45" t="n"/>
    </row>
    <row r="33" ht="15" customHeight="1" s="34">
      <c r="A33" s="33" t="inlineStr">
        <is>
          <t>As-Is Comp Range — Average-based</t>
        </is>
      </c>
      <c r="B33" s="56">
        <f>Assumptions!B53*Assumptions!B55</f>
        <v/>
      </c>
    </row>
    <row r="34" ht="15" customHeight="1" s="34">
      <c r="A34" s="33" t="inlineStr">
        <is>
          <t>As-Is Comp Range — Median-based</t>
        </is>
      </c>
      <c r="B34" s="56">
        <f>Assumptions!B53*Assumptions!B56</f>
        <v/>
      </c>
    </row>
    <row r="35" ht="15" customHeight="1" s="34">
      <c r="A35" s="33" t="inlineStr">
        <is>
          <t>Asking / Contract Price</t>
        </is>
      </c>
      <c r="B35" s="56">
        <f>B9</f>
        <v/>
      </c>
    </row>
    <row r="36" ht="15" customHeight="1" s="34">
      <c r="A36" s="33" t="inlineStr">
        <is>
          <t>As-Is Market Position</t>
        </is>
      </c>
      <c r="B36" s="62">
        <f>IF(B35&lt;MIN(B33,B34),"UNDER MARKET — asking is below both as-is comp estimates",IF(B35&gt;MAX(B33,B34),"OVER MARKET — asking exceeds both as-is comp estimates","WITHIN RANGE — asking falls between the average- and median-based as-is estimates"))</f>
        <v/>
      </c>
    </row>
    <row r="37" ht="15" customHeight="1" s="34"/>
  </sheetData>
  <mergeCells count="5">
    <mergeCell ref="B36:C37"/>
    <mergeCell ref="A11:C11"/>
    <mergeCell ref="A23:C23"/>
    <mergeCell ref="B28:C29"/>
    <mergeCell ref="B27:C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2026-08-20T07:08:39Z</dcterms:created>
  <dcterms:modified xmlns:dcterms="http://purl.org/dc/terms/" xmlns:xsi="http://www.w3.org/2001/XMLSchema-instance" xsi:type="dcterms:W3CDTF">2026-08-23T19:16:56Z</dcterms:modified>
  <cp:revision>0</cp:revision>
</cp:coreProperties>
</file>